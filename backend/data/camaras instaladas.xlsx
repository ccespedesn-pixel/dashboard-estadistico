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81C9BBA0-1190-47A0-B64F-C934E4224F46}" xr6:coauthVersionLast="47" xr6:coauthVersionMax="47" xr10:uidLastSave="{00000000-0000-0000-0000-000000000000}"/>
  <bookViews>
    <workbookView xWindow="-108" yWindow="-108" windowWidth="23256" windowHeight="13896" xr2:uid="{66BD711D-4A05-4762-808C-D7D57B165759}"/>
  </bookViews>
  <sheets>
    <sheet name="Hoja3" sheetId="1" r:id="rId1"/>
  </sheets>
  <definedNames>
    <definedName name="_xlnm._FilterDatabase" localSheetId="0" hidden="1">Hoja3!$B$2:$Z$265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65" i="1" l="1"/>
  <c r="X265" i="1"/>
  <c r="W265" i="1"/>
  <c r="V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</calcChain>
</file>

<file path=xl/sharedStrings.xml><?xml version="1.0" encoding="utf-8"?>
<sst xmlns="http://schemas.openxmlformats.org/spreadsheetml/2006/main" count="1024" uniqueCount="1007">
  <si>
    <t>x|</t>
  </si>
  <si>
    <t>CAMARA</t>
  </si>
  <si>
    <t>UBICACIÓN</t>
  </si>
  <si>
    <t>Latitud</t>
  </si>
  <si>
    <t>Longitud</t>
  </si>
  <si>
    <t>CÁMARA PARA RECONOCIMIENTO DE PLACA Q1700-LE</t>
  </si>
  <si>
    <t>DISTANCIA DE BRAZO</t>
  </si>
  <si>
    <t>CÁMARA PARA RECONOCIMIENTO  FACIAL Q1806-LE  (1.5) brazo</t>
  </si>
  <si>
    <t>CÁMARA PANORÁMICA 360°
MARCA: AXIS 
MODELO: Q6100-E</t>
  </si>
  <si>
    <t>CÁMARA DOMO PTZ
MARCA: AXIS 
MODELO: Q6318-LE</t>
  </si>
  <si>
    <t>CÁMARA PTZ + PANORÁMICA 360°/
MARCA: AXIS 
MODELO: Q6318-LE + Q6100-E</t>
  </si>
  <si>
    <t xml:space="preserve">INSTALACIÓN  </t>
  </si>
  <si>
    <t>COD PATRIMONIAL</t>
  </si>
  <si>
    <t>CAJA</t>
  </si>
  <si>
    <t>S/N</t>
  </si>
  <si>
    <t>IP</t>
  </si>
  <si>
    <t>POE</t>
  </si>
  <si>
    <t>COD.PATRIMONIAL</t>
  </si>
  <si>
    <t>COD PATR</t>
  </si>
  <si>
    <t>N CAJA</t>
  </si>
  <si>
    <t>Poe</t>
  </si>
  <si>
    <t>CAM 01</t>
  </si>
  <si>
    <t>Frente al COSC, Av.Alemania Federal. Altura del paradero San Miguel</t>
  </si>
  <si>
    <t>B8A44FCD08AD</t>
  </si>
  <si>
    <t>172.16.40.134</t>
  </si>
  <si>
    <t>CAM 02</t>
  </si>
  <si>
    <t>Intersección de CA. BOLIBAR con PSAJE. JUAN VELAZCO ALVARADO</t>
  </si>
  <si>
    <t>CAM 03</t>
  </si>
  <si>
    <t>LOZA DEPORTIVA LOS LICENCIADOS, CALLE ANDRES AVELINO C. con JUAN VELAZCO ALVARADO</t>
  </si>
  <si>
    <t>CAM 04</t>
  </si>
  <si>
    <t xml:space="preserve"> Intersección de PASAJE BREÑA con CALLE NAVAL</t>
  </si>
  <si>
    <t>B8A44FBE5972</t>
  </si>
  <si>
    <t>172.16.40.12</t>
  </si>
  <si>
    <t>CAM 05</t>
  </si>
  <si>
    <t>Intersección de AV. LA CULTURA con JR. TARAPACA, 1er PARADERO SAN SEBASTIAN (CONDOR)</t>
  </si>
  <si>
    <t>B8A44FE8BC63</t>
  </si>
  <si>
    <t>172.16.42.63</t>
  </si>
  <si>
    <t>14411</t>
  </si>
  <si>
    <t>B8A44FC07D89</t>
  </si>
  <si>
    <t>172.16.42.21</t>
  </si>
  <si>
    <t>B8A44FCD8E08</t>
  </si>
  <si>
    <t>172.16.40.91</t>
  </si>
  <si>
    <t>CAM 06</t>
  </si>
  <si>
    <t>Intersección de CALLE TARAPACA con CALLE NAVAL</t>
  </si>
  <si>
    <t>14412</t>
  </si>
  <si>
    <t>B8A44FC188E6</t>
  </si>
  <si>
    <t>172.16.42.22</t>
  </si>
  <si>
    <t>B8A44FBE5478</t>
  </si>
  <si>
    <t>172.16.40.13</t>
  </si>
  <si>
    <t>CAM 07</t>
  </si>
  <si>
    <t>Intersección de CALLE MARIANO SANTOS con CA. MIRAFLORES</t>
  </si>
  <si>
    <t>B8A44FE8C29A</t>
  </si>
  <si>
    <t>172.16.42.64</t>
  </si>
  <si>
    <t>B8A44FBE49B9</t>
  </si>
  <si>
    <t>172.16.40.14</t>
  </si>
  <si>
    <t>CAM 08</t>
  </si>
  <si>
    <t>Intersección de PROL. AV COLLASUYO con PASAJE CHASKA PURIÑAN, ref. CANCHA DE FUTBOL</t>
  </si>
  <si>
    <t>B8A44FCD0503</t>
  </si>
  <si>
    <t>172.16.40.92</t>
  </si>
  <si>
    <t>CAM 09</t>
  </si>
  <si>
    <t>Intersección de PROL. AV. COLLASUYO con AV. MANANTIALES, ref. COLEGIO KARI GRANDE, KHIPU</t>
  </si>
  <si>
    <t>B8A44FE8BC72</t>
  </si>
  <si>
    <t>172.16.42.65</t>
  </si>
  <si>
    <t>B8A44FCD84ED</t>
  </si>
  <si>
    <t>172.16.40.93</t>
  </si>
  <si>
    <t>CAM 10</t>
  </si>
  <si>
    <t>Intersección de CALLE HATUN PLAZA con CALLE KILLA K´AWARINA</t>
  </si>
  <si>
    <t>CAM 11</t>
  </si>
  <si>
    <t>CALLE WIRACOCHA, ref. PARQUE KARI GRANDE</t>
  </si>
  <si>
    <t xml:space="preserve"> </t>
  </si>
  <si>
    <t>CAM 12</t>
  </si>
  <si>
    <t>Intersección de CALLE HATUN PLAZA con CALLE INTIK K'AWARINA, ref. PARQUE KARI GRANDE</t>
  </si>
  <si>
    <t>CAM 13</t>
  </si>
  <si>
    <t>ENTRADA WAKAPUNK'U</t>
  </si>
  <si>
    <t>CAM 14</t>
  </si>
  <si>
    <t>APV. TAMBOBAMBA, CALLES SIN NOMBRE</t>
  </si>
  <si>
    <t>B8A44FBE4966</t>
  </si>
  <si>
    <t>172.16.40.15</t>
  </si>
  <si>
    <t>CAM 15</t>
  </si>
  <si>
    <t>Intersección de CALLE HATUN PLAZA con CALLE WIRACOCHA</t>
  </si>
  <si>
    <t>B8A44FCB35F5</t>
  </si>
  <si>
    <t>172.16.40.94</t>
  </si>
  <si>
    <t>CAM 16</t>
  </si>
  <si>
    <t>AV. CULTURA, ref. TOTTUS</t>
  </si>
  <si>
    <t>14413</t>
  </si>
  <si>
    <t>B8A44FC19331</t>
  </si>
  <si>
    <t>172.16.42.23</t>
  </si>
  <si>
    <t>B8A44FCCFE2E</t>
  </si>
  <si>
    <t>172.16.40.95</t>
  </si>
  <si>
    <t>CAM 17</t>
  </si>
  <si>
    <t>Intersección de CALLE BOLIVAR con AV DE LA CULTURA</t>
  </si>
  <si>
    <t>B8A44FE8B94D</t>
  </si>
  <si>
    <t>172.16.42.66</t>
  </si>
  <si>
    <t>CAM 18</t>
  </si>
  <si>
    <t>CALLLE BOLIVAR, ref. CUNA SAN CAMILO</t>
  </si>
  <si>
    <t>B8A44FBE5463</t>
  </si>
  <si>
    <t>172.16.40.16</t>
  </si>
  <si>
    <t>CAM 19</t>
  </si>
  <si>
    <t>FLOR DE LA CANTUTA, LOS ANGELES (VALLECITO)</t>
  </si>
  <si>
    <t>14414</t>
  </si>
  <si>
    <t>B8A44FC1879C</t>
  </si>
  <si>
    <t>172.16.42.24</t>
  </si>
  <si>
    <t>CAM 20</t>
  </si>
  <si>
    <t>Intersección de CALLE BELLAVISTA con JR. UNION</t>
  </si>
  <si>
    <t>CAM 21</t>
  </si>
  <si>
    <t>SUBIDA DE COLEGIO LA SALLE</t>
  </si>
  <si>
    <t>CAM 22</t>
  </si>
  <si>
    <t>APV. ALLPAORCONA CALLE INTI RAYMI</t>
  </si>
  <si>
    <t>CAM 23</t>
  </si>
  <si>
    <t xml:space="preserve">APV CAMPIÑA ALTA, JARDIN HUELLITAS </t>
  </si>
  <si>
    <t>CAM 24</t>
  </si>
  <si>
    <t>APV. BARRANQUILLA CUICHIHUAYCO, CALLE PROYECTADA</t>
  </si>
  <si>
    <t>CAM 25</t>
  </si>
  <si>
    <t>Intersección de CALLE NAVAL con CA. LOS PINOS</t>
  </si>
  <si>
    <t>CAM 26</t>
  </si>
  <si>
    <t>Intersección de CALLE ANDRES A. CACERES con CA. LOS PINOS</t>
  </si>
  <si>
    <t>B8A44FBE5587</t>
  </si>
  <si>
    <t>172.16.40.17</t>
  </si>
  <si>
    <t>CAM 27</t>
  </si>
  <si>
    <t>Intersección de CALLE SUCRE con AV LA CULTURA</t>
  </si>
  <si>
    <t>B8A44FE8B87E</t>
  </si>
  <si>
    <t>172.16.42.67</t>
  </si>
  <si>
    <t>14415</t>
  </si>
  <si>
    <t>B8A44FC19600</t>
  </si>
  <si>
    <t>172.16.42.25</t>
  </si>
  <si>
    <t>CAM 28</t>
  </si>
  <si>
    <t>AV. LA CULTURA, PDERO. CALLEJON</t>
  </si>
  <si>
    <t>B8A44FE8E3C1</t>
  </si>
  <si>
    <t>172.16.42.68</t>
  </si>
  <si>
    <t>14416</t>
  </si>
  <si>
    <t>B8A44FC062F6</t>
  </si>
  <si>
    <t>172.16.42.26</t>
  </si>
  <si>
    <t>B8A44FCCFB9D</t>
  </si>
  <si>
    <t>172.16.40.96</t>
  </si>
  <si>
    <t>CAM 29</t>
  </si>
  <si>
    <t>Intersección de AV. LA MARINA con Calle LA PERLA</t>
  </si>
  <si>
    <t>CAM 30</t>
  </si>
  <si>
    <t>CALLE DANIEL ARRIAGA, PUENTE, COLEGIO DIEGO QUISPE TITTO</t>
  </si>
  <si>
    <t>B8A44FCCF7B3</t>
  </si>
  <si>
    <t>172.16.40.97</t>
  </si>
  <si>
    <t>e</t>
  </si>
  <si>
    <t>CAM 31</t>
  </si>
  <si>
    <t>AV. CUSCO, COLEGIO DIEGO QUISPE TITTO, JARDIN LAURA VICUÑA, CHA'SKA</t>
  </si>
  <si>
    <t>B8A44FCB4745</t>
  </si>
  <si>
    <t>172.16.40.98</t>
  </si>
  <si>
    <t>CAM 32</t>
  </si>
  <si>
    <t>COLEGIO FATIMA, CALLE GARCILASO, COLEGIO INGENIERIA</t>
  </si>
  <si>
    <t>CAM 33</t>
  </si>
  <si>
    <t>Intersección de, AV. CUSCO con CA. ALMAGRO,  ref. PLAZA DE ARMAS SAN SEBASTIAN</t>
  </si>
  <si>
    <t>B8A44FE8C293</t>
  </si>
  <si>
    <t>172.16.42.69</t>
  </si>
  <si>
    <t>14417</t>
  </si>
  <si>
    <t>B8A44FC5E226</t>
  </si>
  <si>
    <t>172.16.42.27</t>
  </si>
  <si>
    <t>CAM 34</t>
  </si>
  <si>
    <t>Intersección de AV. CUSCO con CA. MARISCAL CACERES</t>
  </si>
  <si>
    <t>14418</t>
  </si>
  <si>
    <t>B8A44FC065C7</t>
  </si>
  <si>
    <t>172.16.42.28</t>
  </si>
  <si>
    <t>B8A44FCD0734</t>
  </si>
  <si>
    <t>172.16.40.99</t>
  </si>
  <si>
    <t>CAM 35</t>
  </si>
  <si>
    <t>Intersección de AV. CUSCO con CA. PERU, ref. PLAZA DE ARMAS SAN SEBASTIAN</t>
  </si>
  <si>
    <t>14419</t>
  </si>
  <si>
    <t>B8A44FC1991A</t>
  </si>
  <si>
    <t>172.16.42.29</t>
  </si>
  <si>
    <t>CAM 36</t>
  </si>
  <si>
    <t>Intersección de CALLE BOLIVAR con MARISCAL CASTILLA</t>
  </si>
  <si>
    <t>14420</t>
  </si>
  <si>
    <t>B8A44FC0E8BC</t>
  </si>
  <si>
    <t>172.16.42.30</t>
  </si>
  <si>
    <t>CAM 37</t>
  </si>
  <si>
    <t>Intersección de CALLE PERU con CALLE GARCILAZO</t>
  </si>
  <si>
    <t>14421</t>
  </si>
  <si>
    <t>B8A44FC19B97</t>
  </si>
  <si>
    <t>172.16.42.31</t>
  </si>
  <si>
    <t>CAM 38</t>
  </si>
  <si>
    <t>Intersección de CALLE PERU con AV. FRANCISCO BOLOGNESI</t>
  </si>
  <si>
    <t>14422</t>
  </si>
  <si>
    <t>B8A44FC19F35</t>
  </si>
  <si>
    <t>172.16.42.32</t>
  </si>
  <si>
    <t>CAM 39</t>
  </si>
  <si>
    <t>Intersección de CALLE MATEO PUMACAHUA con CALLE BOLIVAR</t>
  </si>
  <si>
    <t>14423</t>
  </si>
  <si>
    <t>B8A44FC19E73</t>
  </si>
  <si>
    <t>172.16.42.33</t>
  </si>
  <si>
    <t>CAM 40</t>
  </si>
  <si>
    <t>Intersección de CALLE MARISCAL CASTILLA con CA. TRUJILLO</t>
  </si>
  <si>
    <t>14424</t>
  </si>
  <si>
    <t>B8A44FC5E114</t>
  </si>
  <si>
    <t>172.16.42.34</t>
  </si>
  <si>
    <t>x</t>
  </si>
  <si>
    <t>CAM 41</t>
  </si>
  <si>
    <t>Intersección de AV. FRANCISCO BOLOGNESI con CA. ESPINAR</t>
  </si>
  <si>
    <t>CAM 42</t>
  </si>
  <si>
    <t>Intersección de AV. FRANCISCO BOLOGNESI con CA. ESPINAR con CA. SAN MARTIN</t>
  </si>
  <si>
    <t>B8A44FE8C2B0</t>
  </si>
  <si>
    <t>172.16.42.90</t>
  </si>
  <si>
    <t>sin poste</t>
  </si>
  <si>
    <t>CAM 43</t>
  </si>
  <si>
    <t>Intersección de CALLE ARICA con SAN MARTIN</t>
  </si>
  <si>
    <t>observado revisar brazo</t>
  </si>
  <si>
    <t>CAM 44</t>
  </si>
  <si>
    <t>Intersección de CALLE ARICA con CALLE PERU</t>
  </si>
  <si>
    <t>CAM 45</t>
  </si>
  <si>
    <t>Intersección de CALLE DIEGO DE ALMAGRO con COLQUEPATA, ref. CANCHITA DE FUTBOL</t>
  </si>
  <si>
    <t>CAM 46</t>
  </si>
  <si>
    <t>Intersección de AV. VIA EXPRESA con TOMAS TUYRUTUPAC</t>
  </si>
  <si>
    <t>B8A44FE8C1D6</t>
  </si>
  <si>
    <t>172.16.42.70</t>
  </si>
  <si>
    <t>CAM 47</t>
  </si>
  <si>
    <t>Intersección de AV. VIA EXPRESA con CALLE SUCRE</t>
  </si>
  <si>
    <t>14425</t>
  </si>
  <si>
    <t>B8A44FC196AB</t>
  </si>
  <si>
    <t>172.16.42.35</t>
  </si>
  <si>
    <t>CAM 48</t>
  </si>
  <si>
    <t>Intersección de CALLE AYARMACA con CALLE MARISCAL CACERES, ref. COLEGIO PERUANO SUIZO</t>
  </si>
  <si>
    <t>B8A44FBE5516</t>
  </si>
  <si>
    <t>172.16.40.18</t>
  </si>
  <si>
    <t>CAM 49</t>
  </si>
  <si>
    <t>Intersección de CALLE DIEGO QUISPE TITTO, con CALLE FRANCISCO BOLOGNESI</t>
  </si>
  <si>
    <t>CAM 50</t>
  </si>
  <si>
    <t>Intersección de CALLE BOLIVAR con COLQUEPATA, ref. CEMENTERIO</t>
  </si>
  <si>
    <t>CAM 51</t>
  </si>
  <si>
    <t>AV. CUSCO - INGRESO PRINCIPAL</t>
  </si>
  <si>
    <t>B8A44FE8B957</t>
  </si>
  <si>
    <t>172.16.42.71</t>
  </si>
  <si>
    <t>CAM 52</t>
  </si>
  <si>
    <t>AV. DE LA CULTURA - INGRESO PRINCIPAL (PUENTE)</t>
  </si>
  <si>
    <t>B8A44FE8B941</t>
  </si>
  <si>
    <t>172.16.42.72</t>
  </si>
  <si>
    <t>CAM 53</t>
  </si>
  <si>
    <t>CALLEJON CON OBISPO MOLLINEDO</t>
  </si>
  <si>
    <t>CAM 54</t>
  </si>
  <si>
    <t>Intersección de CALLE SUSANA AGUIRRE, con CALLE MICAELA BASTIDAS</t>
  </si>
  <si>
    <t>B8A44FBE558B</t>
  </si>
  <si>
    <t>172.16.40.19</t>
  </si>
  <si>
    <t>CAM 55</t>
  </si>
  <si>
    <t>PASAJE CONQUISTADORES, APV PROCERES</t>
  </si>
  <si>
    <t>B8A44FCB4695</t>
  </si>
  <si>
    <t>172.16.40.100</t>
  </si>
  <si>
    <t>CAM 56</t>
  </si>
  <si>
    <t>MERCADO VIRGEN DEL CARMEN, VIA ALTO QOSQO</t>
  </si>
  <si>
    <t>B8A44FE8C299</t>
  </si>
  <si>
    <t>172.16.42.73</t>
  </si>
  <si>
    <t>CAM 57</t>
  </si>
  <si>
    <t>Intersección de AV LA CULTURA, con CAMINO REAL</t>
  </si>
  <si>
    <t>CAM 58</t>
  </si>
  <si>
    <t>VIA ALTO QOSQO, PASAJE LOS CLAVELES</t>
  </si>
  <si>
    <t>B8A44FE8B887</t>
  </si>
  <si>
    <t>172.16.42.74</t>
  </si>
  <si>
    <t>B8A44FBE49C1</t>
  </si>
  <si>
    <t>172.16.40.20</t>
  </si>
  <si>
    <t>CAM 59</t>
  </si>
  <si>
    <t>APV. MARCACHAYOC, CALLE 29 DE OCTUBRE (GRADAS)</t>
  </si>
  <si>
    <t>B8A44FBE5464</t>
  </si>
  <si>
    <t>172.16.40.21</t>
  </si>
  <si>
    <t>CAM 60</t>
  </si>
  <si>
    <t>APV. DIEGO QUISPE TITO, CALLE ARENALES (GRADAS)</t>
  </si>
  <si>
    <t>B8A44FBE59B0</t>
  </si>
  <si>
    <t>172.16.40.22</t>
  </si>
  <si>
    <t>CAM 61</t>
  </si>
  <si>
    <t>APV. LA MESETA, PROLG. JOSE CARLOS MARIATEGUI (LA CANCHAZA)</t>
  </si>
  <si>
    <t>B8A44FE8C287</t>
  </si>
  <si>
    <t>172.16.42.75</t>
  </si>
  <si>
    <t>CAM 62</t>
  </si>
  <si>
    <t>APV. LOS REALES DEL BOSQUE, CALLE SIN NOMBRE (CUNAMAS)</t>
  </si>
  <si>
    <t>B8A44FBE4A1B</t>
  </si>
  <si>
    <t>172.16.40.23</t>
  </si>
  <si>
    <t>CAM 63</t>
  </si>
  <si>
    <t>APV. LAS LOMAS, PARQUE PROYECTADO, CANCHA DE TIERRA</t>
  </si>
  <si>
    <t>B8A44FCD0303</t>
  </si>
  <si>
    <t>172.16.40.101</t>
  </si>
  <si>
    <t>CAM 64</t>
  </si>
  <si>
    <t>APV. VILLA LOS CAPULIES, CANCHA DE FUTBOL</t>
  </si>
  <si>
    <t>CAM 65</t>
  </si>
  <si>
    <t>APV. DANIEL ESTRADA PEREZ, AV. CAMINO REAL, VIA ALTO QOSQO</t>
  </si>
  <si>
    <t>cambia por la 67</t>
  </si>
  <si>
    <t>B8A44FCD0C56</t>
  </si>
  <si>
    <t>172.16.40.103</t>
  </si>
  <si>
    <t>CAM 66</t>
  </si>
  <si>
    <t>APV. LA UNION, CALLE MIGUEL GRAU</t>
  </si>
  <si>
    <t>B8A44FCCFB5F</t>
  </si>
  <si>
    <t>172.16.40.102</t>
  </si>
  <si>
    <t>CAM 67</t>
  </si>
  <si>
    <t>APV. SAN BARTOLOME, CALLE SIN NOMBRE</t>
  </si>
  <si>
    <t>cambia por la 65</t>
  </si>
  <si>
    <t>CAM 68</t>
  </si>
  <si>
    <t xml:space="preserve"> ISTP TUPAC AMARU, AV. ALEMANIA FEDERAL</t>
  </si>
  <si>
    <t>14426</t>
  </si>
  <si>
    <t>B8A44FC1962A</t>
  </si>
  <si>
    <t>172.16.42.36</t>
  </si>
  <si>
    <t>CAM 69</t>
  </si>
  <si>
    <t>Intersección de JR. LOS GERANIOS con AV. LA COSTANERA</t>
  </si>
  <si>
    <t>CAM 70</t>
  </si>
  <si>
    <t>AV LA CULTURA, ref. INGRESO DE MERCADO TANKARNIYOC</t>
  </si>
  <si>
    <t>14427</t>
  </si>
  <si>
    <t>B8A44FC4A7AC</t>
  </si>
  <si>
    <t>172.16.42.37</t>
  </si>
  <si>
    <t>CAM 71</t>
  </si>
  <si>
    <t>Intersección de VIA EXPRESA, con ANDRES ALENCASTRE</t>
  </si>
  <si>
    <t>CAM 72</t>
  </si>
  <si>
    <t>Intersección de AV. CUSCO, con AV. TOMASA TUIRUTUPA</t>
  </si>
  <si>
    <t>14428</t>
  </si>
  <si>
    <t>B8A44FC18C07</t>
  </si>
  <si>
    <t>172.16.42.38</t>
  </si>
  <si>
    <t>B8A44FCD134A</t>
  </si>
  <si>
    <t>172.16.40.104</t>
  </si>
  <si>
    <t>CAM 73</t>
  </si>
  <si>
    <t>AV. CUSCO, COSTADO DE CCSS SAN SEBASTIAN</t>
  </si>
  <si>
    <t>CAM 74</t>
  </si>
  <si>
    <t>Intersección de AV. CUSCO con PASAJE SIN NOMBRE, ref. FRENTERA IST TUPAC AMARU</t>
  </si>
  <si>
    <t>CAM 75</t>
  </si>
  <si>
    <t>Intersección de AV. LA COSTANERA, con CALLE MANUEL SAHUARAUA</t>
  </si>
  <si>
    <t>CAM 76</t>
  </si>
  <si>
    <t>Intersección de VIA EXPRESA, con JR. LAS GARDENEAS, CANCHA DEPORTIVA VISTA ALEGRE</t>
  </si>
  <si>
    <t>CAM 77</t>
  </si>
  <si>
    <t>Intersección de VIA EXPRESA, con JR ARICA</t>
  </si>
  <si>
    <t>B8A44FCD016B</t>
  </si>
  <si>
    <t>172.16.40.105</t>
  </si>
  <si>
    <t>CAM 78</t>
  </si>
  <si>
    <t>Intersección de AV. LA COSTANERA con AV. LAS PALMERAS, ref. COOPERATIVA VISTA ALEGRE, I.E.I.JUAN PABLO II,</t>
  </si>
  <si>
    <t>CAM 79</t>
  </si>
  <si>
    <t xml:space="preserve">Intersección de CA. FELIPE SICUS, con PROLG. BOLOGNESI </t>
  </si>
  <si>
    <t>CAM 80</t>
  </si>
  <si>
    <t>Intersección de PROLG. GARCILASO con CALLE MANUEL SAHUARAURA</t>
  </si>
  <si>
    <t>CAM 81</t>
  </si>
  <si>
    <t>Intersección de AV. LA COSTANERA, con CON JR. JUNIN, ref. PARQUE 9 DE OCTUBRE</t>
  </si>
  <si>
    <t>CAM 82</t>
  </si>
  <si>
    <t>Intersección de CALLE RICARDO PALMA, con AV. DE LA CULTURA</t>
  </si>
  <si>
    <t>CAM 83</t>
  </si>
  <si>
    <t>AV. DE LA CULTURA, ref. PARDERO SOL DE ORO,</t>
  </si>
  <si>
    <t>14429</t>
  </si>
  <si>
    <t>B8A44FC5E736</t>
  </si>
  <si>
    <t>172.16.42.39</t>
  </si>
  <si>
    <t>B8A44FCD852E</t>
  </si>
  <si>
    <t>172.16.40.106</t>
  </si>
  <si>
    <t>CAM 84</t>
  </si>
  <si>
    <t>Intersección de CALLE DIGNIDAD, con CALLE CONSTITUCION</t>
  </si>
  <si>
    <t>CAM 85</t>
  </si>
  <si>
    <t>Intersección de CALLE INGLATERRA con PASAJE CACHIMAYO, ref. PRONEI, PASTORCILLOS DE JESUS</t>
  </si>
  <si>
    <t>CAM 86</t>
  </si>
  <si>
    <t>Intersección de CALLE ANDRES ALENCASTRE, con  AV. DINAMARCA</t>
  </si>
  <si>
    <t>CAM 87</t>
  </si>
  <si>
    <t>Intersección de AV. ALEMANIA FEDERAL, con CALLE DINAMARCA, ref. GRADAS CAMIONERO</t>
  </si>
  <si>
    <t>CAM 88</t>
  </si>
  <si>
    <t>Intersección de AV. ALEMANIA FEDERAL, con INGLATERRA</t>
  </si>
  <si>
    <t>CAM 89</t>
  </si>
  <si>
    <t>Intersección de CALLE FRANCIA, con ALEMANIA FEDERAL</t>
  </si>
  <si>
    <t>CAM 90</t>
  </si>
  <si>
    <t>Intersección de AV. FRANCIA, con CALLE ESPAÑA, ref. LOZA DEPORTIVA, MERCADILLO</t>
  </si>
  <si>
    <t>CAM 91</t>
  </si>
  <si>
    <t>AV. LA CULTURA, ref. COLEGIO SANTA MARIA MADRE DE DIOS, INGRESO A MERCADILLO</t>
  </si>
  <si>
    <t>14430</t>
  </si>
  <si>
    <t>B8A44FC061AA</t>
  </si>
  <si>
    <t>172.16.42.40</t>
  </si>
  <si>
    <t>B8A44FCD865A</t>
  </si>
  <si>
    <t>172.16.40.107</t>
  </si>
  <si>
    <t>CAM 92</t>
  </si>
  <si>
    <t>Intersección de AV. ALEMANIA FEDERAL, con CALLE JAPON</t>
  </si>
  <si>
    <t>B8A44FBE54D7</t>
  </si>
  <si>
    <t>172.16.40.24</t>
  </si>
  <si>
    <t>CAM 93</t>
  </si>
  <si>
    <t>Intersección de VIA EXPRESA (PUENTE) con CALLE SANTA ROSA</t>
  </si>
  <si>
    <t>B8A44FE8B959</t>
  </si>
  <si>
    <t>172.16.42.76</t>
  </si>
  <si>
    <t>CAM 94</t>
  </si>
  <si>
    <t>VIA PRINCIPAL ALTO QOSQO</t>
  </si>
  <si>
    <t>B8A44FBE546B</t>
  </si>
  <si>
    <t>172.16.40.25</t>
  </si>
  <si>
    <t>CAM 95</t>
  </si>
  <si>
    <t>VIA PRINCIPAL ALTO QOSQO (INGRESO CALLEJON)</t>
  </si>
  <si>
    <t>B8A44FBE5472</t>
  </si>
  <si>
    <t>172.16.40.26</t>
  </si>
  <si>
    <t>CAM 96</t>
  </si>
  <si>
    <t>CAM 97</t>
  </si>
  <si>
    <t>REPL.(APV. ALTO ALIANZA, I.E.P. MISKY YACHAY)</t>
  </si>
  <si>
    <t>B8A44FBE54FD</t>
  </si>
  <si>
    <t>172.16.40.27</t>
  </si>
  <si>
    <t>CAM 98</t>
  </si>
  <si>
    <t>VIA PRINCIPAL ALTO QOSQO, I.E.P. PACHACUTEQ</t>
  </si>
  <si>
    <t>CAM 99</t>
  </si>
  <si>
    <t>Intersección de CALLE QENQO, con CALLE OLLANTAYTAMBO</t>
  </si>
  <si>
    <t>CAM 100</t>
  </si>
  <si>
    <t>Intersección de CALLE WIÑAYWAYNA, con CALLE HAMANQAY</t>
  </si>
  <si>
    <t>B8A44FCD13FA</t>
  </si>
  <si>
    <t>172.16.40.108</t>
  </si>
  <si>
    <t>CAM 101</t>
  </si>
  <si>
    <t>VIA ALTO QOSQO, VIA WIÑAYWAYNA</t>
  </si>
  <si>
    <t>B8A44FCCFAF9</t>
  </si>
  <si>
    <t>172.16.40.109</t>
  </si>
  <si>
    <t>CAM 102</t>
  </si>
  <si>
    <t>PUNTO DE AUXILIO SERENAZGO - ALTO QOSQO</t>
  </si>
  <si>
    <t>B8A44FBE59DC</t>
  </si>
  <si>
    <t>172.16.40.28</t>
  </si>
  <si>
    <t>CAM 103</t>
  </si>
  <si>
    <t>VIA ALTO QOSQO, ref. CEMENTERIO, TANATORIO</t>
  </si>
  <si>
    <t>B8A44FCCF742</t>
  </si>
  <si>
    <t>172.16.40.110</t>
  </si>
  <si>
    <t>CAM 104</t>
  </si>
  <si>
    <t>APV. NUEVO AMANECER, CANCHA DEPORTIVA</t>
  </si>
  <si>
    <t>B8A44FBE4A05</t>
  </si>
  <si>
    <t>172.16.40.29</t>
  </si>
  <si>
    <t>CAM 105</t>
  </si>
  <si>
    <t>URB. SAN HILARION, MERCADILLO, CANCHA SINTETICA, INSTITUTO INTEROCEANICO</t>
  </si>
  <si>
    <t>14431</t>
  </si>
  <si>
    <t>B8A44FC5E6B9</t>
  </si>
  <si>
    <t>172.16.42.41</t>
  </si>
  <si>
    <t>B8A44FBE5459</t>
  </si>
  <si>
    <t>172.16.40.30</t>
  </si>
  <si>
    <t>CAM 106</t>
  </si>
  <si>
    <t>CALLE RICARDO PALMA, JORGE BASADRE, IE SAN MIGUEL N°370</t>
  </si>
  <si>
    <t>B8A44FBE54C0</t>
  </si>
  <si>
    <t>172.16.40.31</t>
  </si>
  <si>
    <t>CAM 107</t>
  </si>
  <si>
    <t>Intersección de CALLE HEROES DEL SENEPA, con AV. DE LA CULTURA, ref. PARAD, STA ROSA</t>
  </si>
  <si>
    <t>14432</t>
  </si>
  <si>
    <t>B8A44FBD10EC</t>
  </si>
  <si>
    <t>172.16.42.42</t>
  </si>
  <si>
    <t>B8A44FCD127F</t>
  </si>
  <si>
    <t>172.16.40.111</t>
  </si>
  <si>
    <t>CAM 108</t>
  </si>
  <si>
    <t>Intersección de AV. RENE DE LA COLINA, con CALLE RAMON CASTILLA, GRADAS</t>
  </si>
  <si>
    <t>B8A44FCD8859</t>
  </si>
  <si>
    <t>172.16.40.112</t>
  </si>
  <si>
    <t>CAM 109</t>
  </si>
  <si>
    <t>Intersección de AV RENE DE LA COLINA, con CALLE CARRIZALES</t>
  </si>
  <si>
    <t>B8A44FBE5467</t>
  </si>
  <si>
    <t>172.16.40.32</t>
  </si>
  <si>
    <t>CAM 110</t>
  </si>
  <si>
    <t xml:space="preserve">Intersección de CALLE TUPAC YUPANQUI, CON CALLE HUASCAR, ref. APV. TRES CRUCES, </t>
  </si>
  <si>
    <t>B8A44FBE545D</t>
  </si>
  <si>
    <t>172.16.40.33</t>
  </si>
  <si>
    <t>CAM 111</t>
  </si>
  <si>
    <t>APV. MIRADOR SANTA ROSA, CALLES SIN NOMBRE (ESCALINATAS)</t>
  </si>
  <si>
    <t>B8A44FCCF92B</t>
  </si>
  <si>
    <t>172.16.40.113</t>
  </si>
  <si>
    <t>CAM 112</t>
  </si>
  <si>
    <t>APV. UNUNCHIS, CALLE AREQUIPA, CON PSJE. LA PAZ (GRADAS)</t>
  </si>
  <si>
    <t>B8A44FBE5456</t>
  </si>
  <si>
    <t>172.16.40.34</t>
  </si>
  <si>
    <t>CAM 113</t>
  </si>
  <si>
    <t>APV. SANTA ROSA, PROLG. MIGUEL GRAU CON JOSE CARLOS MARIATEGUI</t>
  </si>
  <si>
    <t>14433</t>
  </si>
  <si>
    <t>B8A44FBF2D61</t>
  </si>
  <si>
    <t>172.16.42.43</t>
  </si>
  <si>
    <t>CAM 114</t>
  </si>
  <si>
    <t>APV. SAN NICOLAS, CANCHA SINTETICA</t>
  </si>
  <si>
    <t>B8A44FBE54BE</t>
  </si>
  <si>
    <t>172.16.40.35</t>
  </si>
  <si>
    <t>CAM 115</t>
  </si>
  <si>
    <t>APV. LUZ DEL SUR (AREA VERDE)</t>
  </si>
  <si>
    <t>B8A44FBE54D6</t>
  </si>
  <si>
    <t>172.16.40.36</t>
  </si>
  <si>
    <t>CAM 116</t>
  </si>
  <si>
    <t>APV. UNUNCHIS, CIAI UNUNCHIS, CALLE LORETO CON LIBERTAD</t>
  </si>
  <si>
    <t>B8A44FBE4C56</t>
  </si>
  <si>
    <t>172.16.40.37</t>
  </si>
  <si>
    <t>CAM 118</t>
  </si>
  <si>
    <t>APV. SANTA ROSA COMITE 4, TRES CRUCES (PUENTE)</t>
  </si>
  <si>
    <t>B8A44FBE54C8</t>
  </si>
  <si>
    <t>172.16.40.38</t>
  </si>
  <si>
    <t>CAM 117</t>
  </si>
  <si>
    <t>APV. UNUNCHIS, CALLE CUSCO CON IQUITOS (GRADAS) AREA VERDE</t>
  </si>
  <si>
    <t>B8A44FBE5466</t>
  </si>
  <si>
    <t>172.16.40.39</t>
  </si>
  <si>
    <t>CAM 119</t>
  </si>
  <si>
    <t>Intersección de AV. LAS FLORES, con AV. LA CULTURA, ref. PARADERO ENACO</t>
  </si>
  <si>
    <t>B8A44FE8B88D</t>
  </si>
  <si>
    <t>172.16.42.77</t>
  </si>
  <si>
    <t>14434</t>
  </si>
  <si>
    <t>B8A44FC06F59</t>
  </si>
  <si>
    <t>172.16.42.44</t>
  </si>
  <si>
    <t>B8A44FCCF874</t>
  </si>
  <si>
    <t>172.16.40.114</t>
  </si>
  <si>
    <t>CAM 120</t>
  </si>
  <si>
    <t>Intersección deCALLE LAS ROSAS, con CALLE LOS PINOS, ref. GAL SCHOOL</t>
  </si>
  <si>
    <t>B8A44FCD054F</t>
  </si>
  <si>
    <t>172.16.40.115</t>
  </si>
  <si>
    <t>CAM 121</t>
  </si>
  <si>
    <t>Intersección de AV.LOS ALAMOS, con AV. LOS PINOS</t>
  </si>
  <si>
    <t>B8A44FBE54BD</t>
  </si>
  <si>
    <t>172.16.40.40</t>
  </si>
  <si>
    <t>CAM 122</t>
  </si>
  <si>
    <t>CALLE HATUN PAMPA, COSTADO COLEGIO CIERVOS DE LOS POBRES</t>
  </si>
  <si>
    <t>B8A44FBE54C9</t>
  </si>
  <si>
    <t>172.16.40.41</t>
  </si>
  <si>
    <t>CAM 123</t>
  </si>
  <si>
    <t>AV. PRINCIPAL PUMAMARCA, COSTADO I.E.I. 949 TICAPATA</t>
  </si>
  <si>
    <t>B8A44FBE54F1</t>
  </si>
  <si>
    <t>172.16.40.42</t>
  </si>
  <si>
    <t>CAM 124</t>
  </si>
  <si>
    <t>AV. PRINCIPAL TICAPATA</t>
  </si>
  <si>
    <t>B8A44FBE5508</t>
  </si>
  <si>
    <t>172.16.40.43</t>
  </si>
  <si>
    <t>CAM 125</t>
  </si>
  <si>
    <t>OVALO I.E. PUKLLASUNCHIS, IST. ARCO IRIS</t>
  </si>
  <si>
    <t>B8A44FBE54C2</t>
  </si>
  <si>
    <t>172.16.40.44</t>
  </si>
  <si>
    <t>CAM 126</t>
  </si>
  <si>
    <t>URB. COVIDUC (SOL DE ORO)</t>
  </si>
  <si>
    <t>CAM 127</t>
  </si>
  <si>
    <t>AV. DE LA CULTURA, ref. PARADERO CACHIMAYO</t>
  </si>
  <si>
    <t>B8A44FE8E349</t>
  </si>
  <si>
    <t>172.16.42.78</t>
  </si>
  <si>
    <t>B8A44FCCFBCA</t>
  </si>
  <si>
    <t>172.16.40.116</t>
  </si>
  <si>
    <t>CAM 128</t>
  </si>
  <si>
    <t>AV. DE LA CULTURA, ref. PARADERO PUENTE ENTRADA APV. TUPAC AMARU</t>
  </si>
  <si>
    <t>B8A44FE8E391</t>
  </si>
  <si>
    <t>172.16.42.79</t>
  </si>
  <si>
    <t>14435</t>
  </si>
  <si>
    <t>B8A44FC19497</t>
  </si>
  <si>
    <t>172.16.42.45</t>
  </si>
  <si>
    <t>CAM 129</t>
  </si>
  <si>
    <t>Intersección deAV. DE LA CULTURA, AV. LOS SAUCES, ref. PARADERO MOVIL COLEGIO DE INGENIEROS</t>
  </si>
  <si>
    <t>14436</t>
  </si>
  <si>
    <t>B8A44FBC49AD</t>
  </si>
  <si>
    <t>172.16.42.46</t>
  </si>
  <si>
    <t>CAM 130</t>
  </si>
  <si>
    <t>Intersección de PROLG. COLLASUYO, CON CALLEJON, ref. APV. LUZMILA DEL SOLAR</t>
  </si>
  <si>
    <t>CAM 131</t>
  </si>
  <si>
    <t>Intersección de CALLE KISWAR, con CALLE QUEUÑA, ref. C.S. CACHIMAYO</t>
  </si>
  <si>
    <t>14437</t>
  </si>
  <si>
    <t>B8A44FC06CCB</t>
  </si>
  <si>
    <t>172.16.42.47</t>
  </si>
  <si>
    <t>B8A44FCD0542</t>
  </si>
  <si>
    <t>172.16.40.117</t>
  </si>
  <si>
    <t>CAM 132</t>
  </si>
  <si>
    <t>Intersección de AV. LAS FLORES con PROLONGACION COLLASUYO, ref.TIKAPATA</t>
  </si>
  <si>
    <t>CAM 133</t>
  </si>
  <si>
    <t>TIKAPATA, COLEGIO MONTE VERDE</t>
  </si>
  <si>
    <t>B8A44FBE5561</t>
  </si>
  <si>
    <t>172.16.40.45</t>
  </si>
  <si>
    <t>CAM 134</t>
  </si>
  <si>
    <t>TIKAPATA, COLEGIO MISIONERO LOS SIERVOS DE LOS POBRES</t>
  </si>
  <si>
    <t>B8A44FBE5570</t>
  </si>
  <si>
    <t>172.16.40.46</t>
  </si>
  <si>
    <t>CAM 135</t>
  </si>
  <si>
    <t>VIA EXPRESA, CON PASAJE DIEGO TUPAC AMARU (PUENTE ENTRADA PLAZOLETA MICAELA BASTIDAS)</t>
  </si>
  <si>
    <t>B8A44FE8E3D7</t>
  </si>
  <si>
    <t>172.16.42.80</t>
  </si>
  <si>
    <t>B8A44FCD0705</t>
  </si>
  <si>
    <t>172.16.40.118</t>
  </si>
  <si>
    <t>CAM 136</t>
  </si>
  <si>
    <t>VIA EXPRESA, con AV DIEGO C. TUPAC AMARU</t>
  </si>
  <si>
    <t>B8A44FE8E3DB</t>
  </si>
  <si>
    <t>172.16.42.81</t>
  </si>
  <si>
    <t>CAM 137</t>
  </si>
  <si>
    <t>Intersección de VIA EXPRESA, con CALLE TUPAC KATARI, con CALLE COMBAPATA, I.E.I. 699 TUPAC AMARU</t>
  </si>
  <si>
    <t>14438</t>
  </si>
  <si>
    <t>B8A44FC5E016</t>
  </si>
  <si>
    <t>172.16.42.48</t>
  </si>
  <si>
    <t>CAM 138</t>
  </si>
  <si>
    <t>Intersección de TOMAS KATARI, con CALLE COMBAPATA</t>
  </si>
  <si>
    <t>CAM 139</t>
  </si>
  <si>
    <t>VIA EXPRESA (FINAL DE VIA) - LOZA DEPORTIVA</t>
  </si>
  <si>
    <t>B8A44FE8BC75</t>
  </si>
  <si>
    <t>172.16.42.82</t>
  </si>
  <si>
    <t>B8A44FBE54B0</t>
  </si>
  <si>
    <t>172.16.40.47</t>
  </si>
  <si>
    <t>CAM 140</t>
  </si>
  <si>
    <t>APV. TUPAC KATARI, ref. (MODULO SERENAZGO) I.E.P. PASTORCITOS DE FATIMA, ref.Parque las Enfermeras</t>
  </si>
  <si>
    <t>14439</t>
  </si>
  <si>
    <t>B8A44FC07829</t>
  </si>
  <si>
    <t>172.16.42.49</t>
  </si>
  <si>
    <t>CAM 141</t>
  </si>
  <si>
    <t>CALLE MARIANO CASTRO. Ref, APV. TUPAC AMARU</t>
  </si>
  <si>
    <t>CAM 142</t>
  </si>
  <si>
    <t xml:space="preserve"> COSTANERA CON CALLE SURIMANA, Ref APV. TUPAC AMARU</t>
  </si>
  <si>
    <t>CAM 143</t>
  </si>
  <si>
    <t xml:space="preserve">Intersección de CALLE FRANCISCO TUPAC AMARU SOSA, con JR. BARTOLINA SISA, ref, APV. TUPAC AMARU </t>
  </si>
  <si>
    <t>CAM 144</t>
  </si>
  <si>
    <t>Intersección de VIA DE EVITAMIENTO con CA. MARIANO TUPAC AMARU BASTIDAS</t>
  </si>
  <si>
    <t>CAM 145</t>
  </si>
  <si>
    <t>Intersección de CA. ROSA TUPAC AMARU con CA. TOMASA TITO CONDEMAYTA</t>
  </si>
  <si>
    <t>B8A44FCD0B43</t>
  </si>
  <si>
    <t>172.16.40.119</t>
  </si>
  <si>
    <t>CAM 146</t>
  </si>
  <si>
    <t>Intersección de CA. BERBARDO TOMBOWACSO P. con CA. TINTA, ref. APV. TUPAC AMARU, PLAZOLETA MICAELA BASTIDAS</t>
  </si>
  <si>
    <t>14440</t>
  </si>
  <si>
    <t>B8A44FC1A3BE</t>
  </si>
  <si>
    <t>172.16.42.50</t>
  </si>
  <si>
    <t>CAM 147</t>
  </si>
  <si>
    <t>Intersección de AV. DIEGO C. TUPAC AMARU con CA. PAMPAMARCA , ref. PLAZA MICAELA BASTIDAS</t>
  </si>
  <si>
    <t>14441</t>
  </si>
  <si>
    <t>B8A44FC5DBED</t>
  </si>
  <si>
    <t>172.16.42.51</t>
  </si>
  <si>
    <t>CAM 148</t>
  </si>
  <si>
    <t>VIA DE EVITAMIENTO ( INGRESO)</t>
  </si>
  <si>
    <t>B8A44FE8E3B5</t>
  </si>
  <si>
    <t>172.16.42.83</t>
  </si>
  <si>
    <t>CAM 149</t>
  </si>
  <si>
    <t>MAMELON DE SANTUTIS (FINAL AEROPUERTO)</t>
  </si>
  <si>
    <t>CAM 150</t>
  </si>
  <si>
    <t>Intersección de  AV. COSTANERA CON PASAJE AGUA DULCE, ref. APV. FEDETAC</t>
  </si>
  <si>
    <t>,</t>
  </si>
  <si>
    <t>CAM 151</t>
  </si>
  <si>
    <t>Intersección de CALLE CAPAQ QOLLA, CON CALLE MESTIZA QOYACHA, ref. APV. VIRGEN DEL CARMEN / I.E.I 1360</t>
  </si>
  <si>
    <t>B8A44FBE5563</t>
  </si>
  <si>
    <t>172.16.40.48</t>
  </si>
  <si>
    <t>CAM 152</t>
  </si>
  <si>
    <t>AV. COSTANERA, CRUCE FINAL DEL AEROPUERTO</t>
  </si>
  <si>
    <t>B8A44FE8E3B6</t>
  </si>
  <si>
    <t>172.16.42.84</t>
  </si>
  <si>
    <t>CAM 153</t>
  </si>
  <si>
    <t>Intersección de AV. LOS DIAMANTES, con CALLE LAS ESMERALDAS, ref. APV. LAS JOYAS</t>
  </si>
  <si>
    <t>14442</t>
  </si>
  <si>
    <t>B8A44FC19907</t>
  </si>
  <si>
    <t>172.16.42.52</t>
  </si>
  <si>
    <t>CAM 154</t>
  </si>
  <si>
    <t>Intersección de VIA DE EVITAMIENTO (PUENTE LAS JOYAS), con  AV. DE LA AMISTAD</t>
  </si>
  <si>
    <t>B8A44FE8E315</t>
  </si>
  <si>
    <t>172.16.42.85</t>
  </si>
  <si>
    <t>14443</t>
  </si>
  <si>
    <t>B8A44FC0701A</t>
  </si>
  <si>
    <t>172.16.42.53</t>
  </si>
  <si>
    <t>CAM 155</t>
  </si>
  <si>
    <t>APV. COVITUC, PARQUE COVITUC, PASAJE LOS JARDINES</t>
  </si>
  <si>
    <t>B8A44FBE54BA</t>
  </si>
  <si>
    <t>172.16.40.49</t>
  </si>
  <si>
    <t>CAM 156</t>
  </si>
  <si>
    <t>Intersección de CALLE LUIS NIETO MIRANDA, con PASAJE LOS JAZMINES, ref. APV. COVITUC</t>
  </si>
  <si>
    <t>CAM 157</t>
  </si>
  <si>
    <t xml:space="preserve">Intersección de AV. COSTANERA con CALLE JOSE MARIA ARGUEDAS, ref. APV. UVIMA 1, PARQUE UVIMA, </t>
  </si>
  <si>
    <t>CAM 158</t>
  </si>
  <si>
    <t>Intersección de AV. COSTANER, con CALLE EL PORVENIR, ref. APV. SAN ANTONIO</t>
  </si>
  <si>
    <t>CAM 159</t>
  </si>
  <si>
    <t>Intersección de AV. COSTANERA CON CALLE BOLIVARIANO (CUNA SAN ANTONIO), ref. APV. SAN ANTONIO</t>
  </si>
  <si>
    <t>CAM 160</t>
  </si>
  <si>
    <t>Intersección de CALLE FERNANDO BELAUNDE TERRY, con AV. SAN CANADA, ref. APV. SAN ANTONIO, I.E. BOLIVARIANO</t>
  </si>
  <si>
    <t>14444</t>
  </si>
  <si>
    <t>B8A44FBF6273</t>
  </si>
  <si>
    <t>172.16.42.54</t>
  </si>
  <si>
    <t>CAM 161</t>
  </si>
  <si>
    <t>AV. SAN ANTONIO (Ingreso I.E.P. SAN FERNANDO), ref. APV. SAN ANTONIO</t>
  </si>
  <si>
    <t>B8A44FE8B92A</t>
  </si>
  <si>
    <t>172.16.42.86</t>
  </si>
  <si>
    <t>B8A44FCCF8C1</t>
  </si>
  <si>
    <t>172.16.40.120</t>
  </si>
  <si>
    <t>CAM 162</t>
  </si>
  <si>
    <t>Intersección de CALLE PORVENIR, con AV. AMISTAD, ref, APV. SAN ANTONIO</t>
  </si>
  <si>
    <t>B8A44FE8BC6B</t>
  </si>
  <si>
    <t>172.16.42.87</t>
  </si>
  <si>
    <t>B8A44FBE54CF</t>
  </si>
  <si>
    <t>172.16.40.50</t>
  </si>
  <si>
    <t>CAM 163</t>
  </si>
  <si>
    <t>Intersección de CALLEMEXICO, con NICARAGUA (LOZA DEPORTIVA), ref. APV. SAN ANTONIO</t>
  </si>
  <si>
    <t>B8A44FCCFC39</t>
  </si>
  <si>
    <t>172.16.40.121</t>
  </si>
  <si>
    <t>CAM 164</t>
  </si>
  <si>
    <t>Intersección de VIA DE EVITAMIENTO, con CALLE FERNANDO BELAUNDE TERRY, ref. APV. SAN ANTONIO</t>
  </si>
  <si>
    <t>B8A44FE8B954</t>
  </si>
  <si>
    <t>172.16.42.88</t>
  </si>
  <si>
    <t>CAM 165</t>
  </si>
  <si>
    <t>TERMINAL ILLARY- SAN ANTONIO</t>
  </si>
  <si>
    <t>B8A44FE8C78A</t>
  </si>
  <si>
    <t>172.16.42.89</t>
  </si>
  <si>
    <t>14445</t>
  </si>
  <si>
    <t>B8A44FC19642</t>
  </si>
  <si>
    <t>172.16.42.55</t>
  </si>
  <si>
    <t>CAM 166</t>
  </si>
  <si>
    <t>CA. 13 DE MAYO con CA. SANTA CECILIA, ref. APV. PARAISO DE FATIMA</t>
  </si>
  <si>
    <t>B8A44FCD8AB0</t>
  </si>
  <si>
    <t>172.16.40.122</t>
  </si>
  <si>
    <r>
      <rPr>
        <u/>
        <sz val="11"/>
        <color rgb="FF1155CC"/>
        <rFont val="Calibri"/>
        <family val="2"/>
      </rPr>
      <t>VALIDACION-CAM165-CJ174-360.xlsx</t>
    </r>
  </si>
  <si>
    <t>CAM 167</t>
  </si>
  <si>
    <t>APV. RESIDENCIAL POSADA DEL SOL, CALLE HATUN QUILLA CON INTISAMANA</t>
  </si>
  <si>
    <r>
      <rPr>
        <u/>
        <sz val="11"/>
        <color rgb="FF1155CC"/>
        <rFont val="Calibri"/>
        <family val="2"/>
      </rPr>
      <t>VALIDACION-CAM165-CJ2-PTZ.xlsx</t>
    </r>
  </si>
  <si>
    <t>CAM 168</t>
  </si>
  <si>
    <t>APV. RESIDENCIAL POSADA DE SOL, CALLE WIÑAY CHASKA CON K'ANAQ</t>
  </si>
  <si>
    <t>B8A44FBE54C1</t>
  </si>
  <si>
    <t>172.16.40.51</t>
  </si>
  <si>
    <t>CAM 169</t>
  </si>
  <si>
    <t>APV. 4 HERMANOS AYAR, CALLES SIN NOMBRE</t>
  </si>
  <si>
    <t>B8A44FBE54B8</t>
  </si>
  <si>
    <t>172.16.40.52</t>
  </si>
  <si>
    <t>CAM 170</t>
  </si>
  <si>
    <t>APV. LAS PRADERAS / KANTO GRANDE, CALLE SIN NOMBRE</t>
  </si>
  <si>
    <t>CAM 171</t>
  </si>
  <si>
    <t>APV. VIRGEN BELEN, CALLE SIN NOMBRE (AREA VERDE - EX VOTADERO)</t>
  </si>
  <si>
    <t>B8A44FBE59C7</t>
  </si>
  <si>
    <t>172.16.40.53</t>
  </si>
  <si>
    <t>CAM 172</t>
  </si>
  <si>
    <t>APV. CASA GRANDE / VIRGEN DE BELEN, CALLE SIN NOMBRE</t>
  </si>
  <si>
    <t>CAM 173</t>
  </si>
  <si>
    <t>APV. SR. DE EXALTACION, CALLE SIN NOMBRE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</si>
  <si>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</si>
  <si>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CAM 174</t>
  </si>
  <si>
    <t>APV. SATELITE, SALON COMUNAL</t>
  </si>
  <si>
    <t>B8A44FBE54BC</t>
  </si>
  <si>
    <t>172.16.40.54</t>
  </si>
  <si>
    <t>CAM 175</t>
  </si>
  <si>
    <t>Intersección de CA. CRISTO REY con CA. SAN ANTONIO DE PADUA, ref, APV. JARDINES DE KAPTUS / VIRGEN DE FATIMA</t>
  </si>
  <si>
    <t>CAM 176</t>
  </si>
  <si>
    <t>APV. VILLA SAN ANTONIO, CALLE SIN NOMBRE</t>
  </si>
  <si>
    <t>B8A44FBE54C3</t>
  </si>
  <si>
    <t>172.16.40.55</t>
  </si>
  <si>
    <t>CAM 177</t>
  </si>
  <si>
    <t>VIA DE EVITAMIENTO, PUENTE PACIFICO</t>
  </si>
  <si>
    <t>CAM 178</t>
  </si>
  <si>
    <t>B8A44FCD083E</t>
  </si>
  <si>
    <t>172.16.40.123</t>
  </si>
  <si>
    <t>CAM 179</t>
  </si>
  <si>
    <t>Aux VIA DE EVITAMIENTO con CA. HORACIO SEVALLOS</t>
  </si>
  <si>
    <t>CAM 180</t>
  </si>
  <si>
    <t>APV. RESIDENCIAL POSADA DEL SOL, LOZA DEPORTIVA / PARQUE, CALLE INTI PUNKU CON INTI HUATANA</t>
  </si>
  <si>
    <t>B8A44FCD0F45</t>
  </si>
  <si>
    <t>172.16.40.124</t>
  </si>
  <si>
    <t>CAM 181</t>
  </si>
  <si>
    <t>Aux VIA DE EVITAMIENTO / APV. UVIMA 5</t>
  </si>
  <si>
    <t>B8A44FE8B879</t>
  </si>
  <si>
    <t>172.16.42.91</t>
  </si>
  <si>
    <t>CAM 182</t>
  </si>
  <si>
    <t>Intersección de AV. QARAMASKARA con PASAJE SALKANTAY, ref.  APV. UVIMA 7</t>
  </si>
  <si>
    <t>CAM 183</t>
  </si>
  <si>
    <t>Intersección de AV. LOS VALORES con AV. ARMONIA (LOZA DEPORTIVA), ref.  APV. FERNANDEZ</t>
  </si>
  <si>
    <t>B8A44FCD06A9</t>
  </si>
  <si>
    <t>172.16.40.125</t>
  </si>
  <si>
    <t>CAM 184</t>
  </si>
  <si>
    <t>CALLE PUCA PUCARA, CALLE SACSAYHUAMAN, CALLE SIN NOMBRE</t>
  </si>
  <si>
    <t>CAM 185</t>
  </si>
  <si>
    <t>CALLE SUYKUTAMBO, PARQUE INFANTIL, ref. CHAPARRAL</t>
  </si>
  <si>
    <t>B8A44FBE5480</t>
  </si>
  <si>
    <t>172.16.40.56</t>
  </si>
  <si>
    <t>CAM 186</t>
  </si>
  <si>
    <t>INT. POSADA DEL SOL / PARAISO</t>
  </si>
  <si>
    <t>B8A44FBE54AA</t>
  </si>
  <si>
    <t>172.16.40.57</t>
  </si>
  <si>
    <t>CAM 187</t>
  </si>
  <si>
    <t xml:space="preserve"> CALLE DANIEL ESTRADA PEREZ, CALLE 30 DE AGOSTO, ref. APV PROCASA</t>
  </si>
  <si>
    <t>B8A44FBE545B</t>
  </si>
  <si>
    <t>172.16.40.58</t>
  </si>
  <si>
    <t>CAM 188</t>
  </si>
  <si>
    <t>PASAJE SANTA BARBARA, CALLE JUAN PABLO II</t>
  </si>
  <si>
    <t>B8A44FBE49C0</t>
  </si>
  <si>
    <t>172.16.40.59</t>
  </si>
  <si>
    <t>CAM 189</t>
  </si>
  <si>
    <t>CALLE VIRGEN NATIVIDAD, CALLE JOSE CARLOS MARIATEGUI</t>
  </si>
  <si>
    <t>B8A44FBE54DC</t>
  </si>
  <si>
    <t>172.16.40.60</t>
  </si>
  <si>
    <t>CAM 190</t>
  </si>
  <si>
    <t>CALLE TUPAC KATARI, Aux VIA DE EVITAMIENTO</t>
  </si>
  <si>
    <t>CAM 191</t>
  </si>
  <si>
    <t>Intersección de CA. WAYNAPICCHU, con CA. SAQSAYWAMAN</t>
  </si>
  <si>
    <t>B8A44FBE49E6</t>
  </si>
  <si>
    <t>172.16.40.61</t>
  </si>
  <si>
    <t>CAM 192</t>
  </si>
  <si>
    <t>AV. LA COSTANERA, con AV. PARACAS, URB. LOS NOGALES</t>
  </si>
  <si>
    <t>B8A44FCD0096</t>
  </si>
  <si>
    <t>172.16.40.126</t>
  </si>
  <si>
    <t>CAM 193</t>
  </si>
  <si>
    <t>Intersección de AV. PACHAKAMAQ, con CALLE CHIMU ITINERANTE), ref. URB. LOS NOGALES, MODULO DE AUXILIO</t>
  </si>
  <si>
    <t>CAM 194</t>
  </si>
  <si>
    <t>Intersección de VIA DE EVITAMIENTO con CALLE CHIMU, ref. URB. LOS NOGALES</t>
  </si>
  <si>
    <t>B8A44FE8C19C</t>
  </si>
  <si>
    <t>172.16.42.92</t>
  </si>
  <si>
    <t>B8A44FBE59C9</t>
  </si>
  <si>
    <t>172.16.40.62</t>
  </si>
  <si>
    <t>CAM 195</t>
  </si>
  <si>
    <t>CALLE CHANCAS CON PASAJE EDUCACION (I.E. PRIMARIA LOS NOGALES), ref. URB. LOS NOGALES</t>
  </si>
  <si>
    <t>B8A44FC1A21B</t>
  </si>
  <si>
    <t>172.16.42.56</t>
  </si>
  <si>
    <t>B8A44FBE54A8</t>
  </si>
  <si>
    <t>172.16.40.63</t>
  </si>
  <si>
    <t>CAM 196</t>
  </si>
  <si>
    <t>Intersección de AV. PACHAKAMAQ, con JR. CHAVIN (LOZA DEPORTIVA/PARQUE), ref. URB. LOS NOGALES</t>
  </si>
  <si>
    <t>B8A44FE8BC65</t>
  </si>
  <si>
    <t>172.16.42.93</t>
  </si>
  <si>
    <t>B8A44FCB4362</t>
  </si>
  <si>
    <t>172.16.40.127</t>
  </si>
  <si>
    <t>CAM 197</t>
  </si>
  <si>
    <t>AV. LOS ROSALES (PUENTE), con CALLE QUEUÑA, ref. URB. LOS NOGALES</t>
  </si>
  <si>
    <t>B8A44FE8BC61</t>
  </si>
  <si>
    <t>172.16.42.94</t>
  </si>
  <si>
    <t>B8A44FBE5450</t>
  </si>
  <si>
    <t>172.16.40.64</t>
  </si>
  <si>
    <t>CAM 198</t>
  </si>
  <si>
    <t>URB. LOS NOGALES, PARQUE, CALLE LLAULLY CON CALLE NIWA</t>
  </si>
  <si>
    <t>CAM 199</t>
  </si>
  <si>
    <t>CALLE LAS PALMERAS CON CALLE EL OLIVO (COLEGIO KAUSAN ÑAN), ref. APV. FRANCISCO PALAO</t>
  </si>
  <si>
    <t>B8A44FBE550B</t>
  </si>
  <si>
    <t>172.16.40.65</t>
  </si>
  <si>
    <t>CAM 200</t>
  </si>
  <si>
    <t>INICIO VIA DE EVITAMIENTO - URB. LOS NOGALES, CRUCE, MERCADO LOS NOGALES</t>
  </si>
  <si>
    <t>B8A44FE8B95C</t>
  </si>
  <si>
    <t>172.16.42.95</t>
  </si>
  <si>
    <t>CAM 201</t>
  </si>
  <si>
    <t>INTERSECCIÓN URB. LOS NOGALES, PARQUE SURIHUAYLLA, CALLE CHOQUEQUIRAO</t>
  </si>
  <si>
    <t>B8A44FCB3577</t>
  </si>
  <si>
    <t>172.16.40.128</t>
  </si>
  <si>
    <t>CAM 202</t>
  </si>
  <si>
    <t>ENTRADA AGUA BUENA, PARQUE AGUA BUENA, INICIO CU-1294</t>
  </si>
  <si>
    <t>B8A44FE8BC5A</t>
  </si>
  <si>
    <t>172.16.42.96</t>
  </si>
  <si>
    <t>B8A44FC063CB</t>
  </si>
  <si>
    <t>172.16.42.57</t>
  </si>
  <si>
    <t>CAM 203</t>
  </si>
  <si>
    <t>PARQUE AGUA BUENA, LOZA DEPORTIVA</t>
  </si>
  <si>
    <t>CAM 204</t>
  </si>
  <si>
    <t>CANCHA SINTETICA DE AGUA DULCE</t>
  </si>
  <si>
    <t>B8A44FCCFDED</t>
  </si>
  <si>
    <t>172.16.40.129</t>
  </si>
  <si>
    <t>CAM 205</t>
  </si>
  <si>
    <t>INTERSECCIÓN AV. SACSAYHUAMAN, CU-1291</t>
  </si>
  <si>
    <t>CAM 206</t>
  </si>
  <si>
    <t>INTERSECCIÓN AV. SACSAYHUAMAN, PASJE. VICUS, PARQUE</t>
  </si>
  <si>
    <t>B8A44FBE5576</t>
  </si>
  <si>
    <t>172.16.40.66</t>
  </si>
  <si>
    <t>CAM 207</t>
  </si>
  <si>
    <t>AV. SACSAYHUAMAN PARQUE INFANTIL (PROYECTADO) APV MOLLECITO</t>
  </si>
  <si>
    <t>B8A44FBE555A</t>
  </si>
  <si>
    <t>172.16.40.67</t>
  </si>
  <si>
    <t>CAM 208</t>
  </si>
  <si>
    <t>INTERSECCIÓN AV. PACHACUTEQ, CALLE MICAELA BASTIDAS APV FEDETRAC</t>
  </si>
  <si>
    <t>CAM 209</t>
  </si>
  <si>
    <t>CALLE MARAÑON, CALLE HUALLAGA PUENTE VIA EVITAMIENTO</t>
  </si>
  <si>
    <t>B8A44FCD0690</t>
  </si>
  <si>
    <t>172.16.40.130</t>
  </si>
  <si>
    <t>CAM 210</t>
  </si>
  <si>
    <t>AV. LUIS VALLEJO SANTONI, VILLA ZARATE, CAPILLA WIMPILLAY</t>
  </si>
  <si>
    <t>B8A44FE8C296</t>
  </si>
  <si>
    <t>172.16.42.97</t>
  </si>
  <si>
    <t>B8A44FC06C79</t>
  </si>
  <si>
    <t>172.16.42.58</t>
  </si>
  <si>
    <t>CAM 211</t>
  </si>
  <si>
    <t>CALLE FRANCISCO DE ZELA, AV. DANIEL ESTRADA PEREZ, ref,  APV CESAR VALLEJO</t>
  </si>
  <si>
    <t>B8A44FCD732F</t>
  </si>
  <si>
    <t>172.16.40.131</t>
  </si>
  <si>
    <t>CAM 212</t>
  </si>
  <si>
    <t>INTERSECCIÓN DE AV. DANIEL ESTRADA PEREZ, con CALLE HUASCAR</t>
  </si>
  <si>
    <t>B8A44FBE54A6</t>
  </si>
  <si>
    <t>172.16.40.68</t>
  </si>
  <si>
    <t>CAM 213</t>
  </si>
  <si>
    <t>AV. JORGE BASADRE, PROL. DANIEL ESTRADA PEREZ</t>
  </si>
  <si>
    <t>B8A44FBE59D0</t>
  </si>
  <si>
    <t>172.16.40.69</t>
  </si>
  <si>
    <t>CAM 214</t>
  </si>
  <si>
    <t>PASJE. SEBASTIAN SALAZAR BONDY, AV. JORGE BASADRE APV WIMPILLAY</t>
  </si>
  <si>
    <t>B8A44FBE54A9</t>
  </si>
  <si>
    <t>172.16.40.70</t>
  </si>
  <si>
    <t>CAM 215</t>
  </si>
  <si>
    <t>PROL. JORGE BASADRE, SALON COMUNAL JARDINES DE SANTA TERESA</t>
  </si>
  <si>
    <t>B8A44FCD0C03</t>
  </si>
  <si>
    <t>172.16.40.132</t>
  </si>
  <si>
    <t>CAM 216</t>
  </si>
  <si>
    <t>FALDAS DEL CERRO MUYU URQU / ALTO WINPILLAY</t>
  </si>
  <si>
    <t>B8A44FCD819F</t>
  </si>
  <si>
    <t>172.16.40.133</t>
  </si>
  <si>
    <t>CAM 217</t>
  </si>
  <si>
    <t>CALLE ARGENTINA, AV. BRASIL, ref. APV SOL DE AMERICA</t>
  </si>
  <si>
    <t>B8A44FBE54E3</t>
  </si>
  <si>
    <t>172.16.40.71</t>
  </si>
  <si>
    <t>CAM 218</t>
  </si>
  <si>
    <t>CALLE LAS PLAMERAS con PJ. RUINAS DEL INCA, ref. ALDEA S.O.S. INFANTIL APV. VILLA PARAISO</t>
  </si>
  <si>
    <t>B8A44FBE4A09</t>
  </si>
  <si>
    <t>172.16.40.72</t>
  </si>
  <si>
    <t>CAM 219</t>
  </si>
  <si>
    <t>INTERSECCIÓN DE CALLE CAPAC YUPANQUI, CALLE LOS ALAMOS</t>
  </si>
  <si>
    <t>CAM 220</t>
  </si>
  <si>
    <t>INTERSECCIÓN AV. LAS PALMAERAS CON CALLE LOS ALAMOS</t>
  </si>
  <si>
    <t>B8A44FBE59AA</t>
  </si>
  <si>
    <t>172.16.40.11</t>
  </si>
  <si>
    <t>CAM 221</t>
  </si>
  <si>
    <t>Av. LAS PALMAERAS (CURVA) PASJE. LOS CIPRECES</t>
  </si>
  <si>
    <t>B8A44FBE5581</t>
  </si>
  <si>
    <t>172.16.40.73</t>
  </si>
  <si>
    <t>CAM 222</t>
  </si>
  <si>
    <t>CALLE TUPAC KATARI (HOSPITAL II-E TUPAC AMARU)</t>
  </si>
  <si>
    <t>B8A44FBE54FA</t>
  </si>
  <si>
    <t>172.16.40.74</t>
  </si>
  <si>
    <t>CAM 223</t>
  </si>
  <si>
    <t>AV. LUIS VALLEJO SANTONI con CALLE OLLANTA, ref. INGRESO</t>
  </si>
  <si>
    <t>-</t>
  </si>
  <si>
    <t>B8A44FBE54DE</t>
  </si>
  <si>
    <t>172.16.40.75</t>
  </si>
  <si>
    <t>CAM 224</t>
  </si>
  <si>
    <t>CALLE MARIANITO MAYTA, PRONO EI SEÑOR DE QOYLLORITY</t>
  </si>
  <si>
    <t>B8A44FBE54D0</t>
  </si>
  <si>
    <t>172.16.40.76</t>
  </si>
  <si>
    <t>CAM 225</t>
  </si>
  <si>
    <t>INTERSECCIÓN CALLE HUASCAR, CON CALLE SINCHI ROCA</t>
  </si>
  <si>
    <t>CAM 226</t>
  </si>
  <si>
    <t>APV.SAN CAMILO,AV LA COSTANERA INGRESO PARADERO KIOSKO AV VELASCO</t>
  </si>
  <si>
    <t>B8A44FCD08E1</t>
  </si>
  <si>
    <t>172.16.40.135</t>
  </si>
  <si>
    <t>CAM 227</t>
  </si>
  <si>
    <t>APV NIÑO MANUELITO- INGRESO PARADERO KIOSKO AV VELASCO</t>
  </si>
  <si>
    <t>B8A44FBE49D3</t>
  </si>
  <si>
    <t>172.16.40.77</t>
  </si>
  <si>
    <t>CAM 228</t>
  </si>
  <si>
    <t>VIA TANKARPATA, SECTOR UVIMA 04</t>
  </si>
  <si>
    <t>B8A44FCD8570</t>
  </si>
  <si>
    <t>172.16.40.136</t>
  </si>
  <si>
    <t>CAM 229</t>
  </si>
  <si>
    <t>COLEGIO IEN 50014 VIA TANKARPATA-NIÑO MANUELITO</t>
  </si>
  <si>
    <t>B8A44FC19941</t>
  </si>
  <si>
    <t>172.16.42.59</t>
  </si>
  <si>
    <t>CAM 230</t>
  </si>
  <si>
    <t>CALLEJON SIN NOMBRE, ACEQUIA SECTOR DE WIMPILLAY</t>
  </si>
  <si>
    <t>B8A44FBE548E</t>
  </si>
  <si>
    <t>172.16.40.78</t>
  </si>
  <si>
    <t>CAM 231</t>
  </si>
  <si>
    <t>CALLEJON S/N SECTOR DE WIMPILLAY</t>
  </si>
  <si>
    <t>B8A44FBE558A</t>
  </si>
  <si>
    <t>172.16.40.79</t>
  </si>
  <si>
    <t>CAM 232</t>
  </si>
  <si>
    <t>CAPILLA TANKARPATA, ESCUELA COOPERAR PERU / PLAZA TANCARPATA</t>
  </si>
  <si>
    <t>CAM 233</t>
  </si>
  <si>
    <t>INTERSECCIÓN DE AV UNION, CALLE LOS CLAVELES</t>
  </si>
  <si>
    <t>B8A44FBE4A00</t>
  </si>
  <si>
    <t>172.16.40.80</t>
  </si>
  <si>
    <t>CAM 234</t>
  </si>
  <si>
    <t xml:space="preserve">RIEL, CRUCE DE TREN, AV UNION </t>
  </si>
  <si>
    <t>B8A44FBE5455</t>
  </si>
  <si>
    <t>172.16.40.81</t>
  </si>
  <si>
    <t>CAM 235</t>
  </si>
  <si>
    <t>COLEGIO LA SALLE, INGRESO PRINCIPAL</t>
  </si>
  <si>
    <t>B8A44FBE4A07</t>
  </si>
  <si>
    <t>172.16.40.82</t>
  </si>
  <si>
    <t>CAM 236</t>
  </si>
  <si>
    <t>WILLKARPAY (ENTRADA), APV REINA DE BELEN</t>
  </si>
  <si>
    <t>CAM 237</t>
  </si>
  <si>
    <t>WILLKARPAY, PRONOEI, PARQUE INFANTIL</t>
  </si>
  <si>
    <t>B8A44FBE54ED</t>
  </si>
  <si>
    <t>172.16.40.83</t>
  </si>
  <si>
    <t>CAM 238</t>
  </si>
  <si>
    <t xml:space="preserve">WILKARPAY, CHIKUCHA WASI </t>
  </si>
  <si>
    <t>CAM 239</t>
  </si>
  <si>
    <t>SALON COMUNAL QUILLAHUATA, (CUNA MAS - CIAI QUILLAHUATA)</t>
  </si>
  <si>
    <t>B8A44FBE551D</t>
  </si>
  <si>
    <t>172.16.40.84</t>
  </si>
  <si>
    <t>CAM 240</t>
  </si>
  <si>
    <t>I.E. 50949 EL CARMELO DE MARIA QUILLAHUATA</t>
  </si>
  <si>
    <t>B8A44FCD7B98</t>
  </si>
  <si>
    <t>172.16.40.137</t>
  </si>
  <si>
    <t>CAM 241</t>
  </si>
  <si>
    <t xml:space="preserve">FRONTIS DEL CUNAMAS MISKIUNO </t>
  </si>
  <si>
    <t>CAM 242</t>
  </si>
  <si>
    <t>INTERSECCIÓN DE LA A.V LAS FLORES CON CALLE LOS RETOÑITOS</t>
  </si>
  <si>
    <t>B8A44FE8E3D2</t>
  </si>
  <si>
    <t>172.16.42.98</t>
  </si>
  <si>
    <t>B8A44FBE54DA</t>
  </si>
  <si>
    <t>172.16.40.85</t>
  </si>
  <si>
    <t>CAM 243</t>
  </si>
  <si>
    <t>ENTRADA QUILLAHUATA</t>
  </si>
  <si>
    <t>B8A44FBE49E9</t>
  </si>
  <si>
    <t>172.16.40.86</t>
  </si>
  <si>
    <t>CAM 244</t>
  </si>
  <si>
    <t>PUMAMARCA, INTERSECCIÓN CALLE LOS CLAVELES CON VIA ENACO-CCORAO</t>
  </si>
  <si>
    <t>B8A44FE8BC7A</t>
  </si>
  <si>
    <t>172.16.42.99</t>
  </si>
  <si>
    <t>CAM 245</t>
  </si>
  <si>
    <t>PUMAMARCA, PLAZOLETA, CAPILLA</t>
  </si>
  <si>
    <t>B8A44FBE49F5</t>
  </si>
  <si>
    <t>172.16.40.87</t>
  </si>
  <si>
    <t>CAM 246</t>
  </si>
  <si>
    <t>PUMAMARCA, VIA ENACO-CCORAO -VIVERO PUMAMARCA</t>
  </si>
  <si>
    <t>CAM 247</t>
  </si>
  <si>
    <t>PUMAMARCA, ESTADIO PUMAMARCA</t>
  </si>
  <si>
    <t>CAM 248</t>
  </si>
  <si>
    <t xml:space="preserve">PUMAMARCA, INGRESO I.E.I. 50046 PUMAMARCA </t>
  </si>
  <si>
    <t>CAM 249</t>
  </si>
  <si>
    <t>RIO HUATANAY, PARALELA DE CALLE ALEMANIA FEDERAL, UNA CUADRA DE CALLE FRANCIA</t>
  </si>
  <si>
    <t>CAM 250</t>
  </si>
  <si>
    <t>CCORAO,PRIMERA CURVA DE INGRESO - VIA PRINCIPAL CUSCO-PISAC</t>
  </si>
  <si>
    <t>B8A44FE8BC71</t>
  </si>
  <si>
    <t>172.16.42.100</t>
  </si>
  <si>
    <t>B8A44FBE556D</t>
  </si>
  <si>
    <t>172.16.40.88</t>
  </si>
  <si>
    <t>CAM 251</t>
  </si>
  <si>
    <t>Intersección calle cesar Vallejo con Av.Antonio Lorena</t>
  </si>
  <si>
    <t>CAM 252</t>
  </si>
  <si>
    <t>INTERSECCIÓN, MICAELA BASTIDAS CON APV.MONTERREY</t>
  </si>
  <si>
    <t>CAM 253</t>
  </si>
  <si>
    <t>CCORAO, GRIFO, INGRESO ESTADIO</t>
  </si>
  <si>
    <t>B8A44FBE555D</t>
  </si>
  <si>
    <t>172.16.40.89</t>
  </si>
  <si>
    <t>CAM 254</t>
  </si>
  <si>
    <t>CCORAO PLAZA DE ARMAS, CAPILLA</t>
  </si>
  <si>
    <t>CAM 255</t>
  </si>
  <si>
    <t>CCORAO, COLEGIO INCA RIPAQ, I.E.I. Nº 469, VIA PRINCIPAL CUSCO-PISAC</t>
  </si>
  <si>
    <t>B8A44FE8E3BA</t>
  </si>
  <si>
    <t>172.16.42.101</t>
  </si>
  <si>
    <t>B8A44FC07520</t>
  </si>
  <si>
    <t>172.16.42.60</t>
  </si>
  <si>
    <t>CAM 256</t>
  </si>
  <si>
    <t>APV. POSADA DEL INCA</t>
  </si>
  <si>
    <t>B8A44FBE54F9</t>
  </si>
  <si>
    <t>172.16.40.90</t>
  </si>
  <si>
    <t>CAM 257</t>
  </si>
  <si>
    <t xml:space="preserve">CCORAO - MANDORANI, VIA PRINCIPAL CUSCO-PISAC </t>
  </si>
  <si>
    <t>CAM 258</t>
  </si>
  <si>
    <t>C.C. KIRKAS (INGRESO PRINCIPAL, INSTITUCION EDUCATIVA INICIAL, CANCHA DEPORTIVA)</t>
  </si>
  <si>
    <t>B8A44FCB36B4</t>
  </si>
  <si>
    <t>172.16.40.138</t>
  </si>
  <si>
    <t>CAM 259</t>
  </si>
  <si>
    <t>CALLE SIN NUMERO SECTOR WILLKARPAY</t>
  </si>
  <si>
    <t>B8A44FCCF681</t>
  </si>
  <si>
    <t>172.16.40.139</t>
  </si>
  <si>
    <t>CAM 260</t>
  </si>
  <si>
    <t>INTERSECCIÓN DE LA CALLE GARCILASO CON CALLE SUCRE</t>
  </si>
  <si>
    <t>CAM 261</t>
  </si>
  <si>
    <t>INTERSECCIÓN DE LA AV LA CULTURA CON PSJE ARENAL</t>
  </si>
  <si>
    <t>B8A44FE8C2A4</t>
  </si>
  <si>
    <t>172.16.42.102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</si>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</sst>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"/>
    <numFmt numFmtId="166" formatCode="0.0000000000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</font>
    <font>
      <sz val="11"/>
      <color rgb="FF351C75"/>
      <name val="Calibri"/>
      <family val="2"/>
    </font>
    <font>
      <b/>
      <sz val="18"/>
      <color theme="0"/>
      <name val="Calibri"/>
      <family val="2"/>
    </font>
    <font>
      <b/>
      <sz val="18"/>
      <color rgb="FFFFFFFF"/>
      <name val="Calibri"/>
      <family val="2"/>
    </font>
    <font>
      <sz val="11"/>
      <name val="Calibri"/>
      <family val="2"/>
    </font>
    <font>
      <b/>
      <sz val="18"/>
      <color rgb="FF0000FF"/>
      <name val="Calibri"/>
      <family val="2"/>
    </font>
    <font>
      <b/>
      <sz val="18"/>
      <color theme="1"/>
      <name val="Calibri"/>
      <family val="2"/>
    </font>
    <font>
      <b/>
      <sz val="14"/>
      <color rgb="FFFFFFFF"/>
      <name val="Calibri"/>
      <family val="2"/>
    </font>
    <font>
      <b/>
      <sz val="18"/>
      <color rgb="FF351C75"/>
      <name val="Calibri"/>
      <family val="2"/>
    </font>
    <font>
      <sz val="18"/>
      <color theme="1"/>
      <name val="Calibri"/>
      <family val="2"/>
    </font>
    <font>
      <b/>
      <sz val="18"/>
      <color rgb="FF0070C0"/>
      <name val="Calibri"/>
      <family val="2"/>
    </font>
    <font>
      <b/>
      <sz val="18"/>
      <color rgb="FF7030A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theme="8" tint="-0.499984740745262"/>
      <name val="Calibri"/>
      <family val="2"/>
    </font>
    <font>
      <b/>
      <sz val="18"/>
      <color rgb="FF002060"/>
      <name val="Calibri"/>
      <family val="2"/>
    </font>
    <font>
      <b/>
      <u/>
      <sz val="18"/>
      <color theme="1"/>
      <name val="Calibri"/>
      <family val="2"/>
    </font>
    <font>
      <b/>
      <u/>
      <sz val="18"/>
      <color rgb="FF0070C0"/>
      <name val="Calibri"/>
      <family val="2"/>
    </font>
    <font>
      <b/>
      <u/>
      <sz val="18"/>
      <color rgb="FF7030A0"/>
      <name val="Calibri"/>
      <family val="2"/>
    </font>
    <font>
      <b/>
      <u/>
      <sz val="18"/>
      <color rgb="FF000000"/>
      <name val="Calibri"/>
      <family val="2"/>
    </font>
    <font>
      <sz val="18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b/>
      <sz val="18"/>
      <name val="Calibri"/>
      <family val="2"/>
    </font>
    <font>
      <b/>
      <sz val="15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FF"/>
      <name val="Calibri"/>
      <family val="2"/>
    </font>
    <font>
      <sz val="20"/>
      <color rgb="FF351C75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00B0F0"/>
        <bgColor rgb="FF00B0F0"/>
      </patternFill>
    </fill>
    <fill>
      <patternFill patternType="solid">
        <fgColor rgb="FF00FFCC"/>
        <bgColor rgb="FFEEECE1"/>
      </patternFill>
    </fill>
    <fill>
      <patternFill patternType="solid">
        <fgColor rgb="FF00FFCC"/>
        <bgColor rgb="FFC27BA0"/>
      </patternFill>
    </fill>
    <fill>
      <patternFill patternType="solid">
        <fgColor rgb="FF00FFCC"/>
        <bgColor rgb="FFF6B26B"/>
      </patternFill>
    </fill>
    <fill>
      <patternFill patternType="solid">
        <fgColor rgb="FF00FFCC"/>
        <bgColor indexed="64"/>
      </patternFill>
    </fill>
    <fill>
      <patternFill patternType="solid">
        <fgColor rgb="FF00FFCC"/>
        <bgColor rgb="FFB6D7A8"/>
      </patternFill>
    </fill>
    <fill>
      <patternFill patternType="solid">
        <fgColor rgb="FF00FFCC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00FFCC"/>
        <bgColor rgb="FFEAD1DC"/>
      </patternFill>
    </fill>
    <fill>
      <patternFill patternType="solid">
        <fgColor rgb="FFA3FE34"/>
        <bgColor rgb="FFE06666"/>
      </patternFill>
    </fill>
    <fill>
      <patternFill patternType="solid">
        <fgColor rgb="FF00FFCC"/>
        <bgColor rgb="FFFCE5CD"/>
      </patternFill>
    </fill>
    <fill>
      <patternFill patternType="solid">
        <fgColor rgb="FFEEECE1"/>
        <bgColor rgb="FFEEECE1"/>
      </patternFill>
    </fill>
    <fill>
      <patternFill patternType="solid">
        <fgColor rgb="FF29FFD6"/>
        <bgColor rgb="FFEEECE1"/>
      </patternFill>
    </fill>
    <fill>
      <patternFill patternType="solid">
        <fgColor rgb="FF29FFD6"/>
        <bgColor rgb="FFC27BA0"/>
      </patternFill>
    </fill>
    <fill>
      <patternFill patternType="solid">
        <fgColor rgb="FF29FFD6"/>
        <bgColor rgb="FFF6B26B"/>
      </patternFill>
    </fill>
    <fill>
      <patternFill patternType="solid">
        <fgColor rgb="FF29FFD6"/>
        <bgColor rgb="FFEAD1DC"/>
      </patternFill>
    </fill>
    <fill>
      <patternFill patternType="solid">
        <fgColor rgb="FF29FFD6"/>
        <bgColor rgb="FFB6D7A8"/>
      </patternFill>
    </fill>
    <fill>
      <patternFill patternType="solid">
        <fgColor rgb="FF29FFD6"/>
        <bgColor rgb="FFFFD966"/>
      </patternFill>
    </fill>
    <fill>
      <patternFill patternType="solid">
        <fgColor rgb="FF29FFD6"/>
        <bgColor rgb="FFFCE5CD"/>
      </patternFill>
    </fill>
    <fill>
      <patternFill patternType="solid">
        <fgColor rgb="FF00FFCC"/>
        <bgColor rgb="FF00FF00"/>
      </patternFill>
    </fill>
    <fill>
      <patternFill patternType="solid">
        <fgColor rgb="FFFF0000"/>
        <bgColor rgb="FFFCE5CD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C27BA0"/>
      </patternFill>
    </fill>
    <fill>
      <patternFill patternType="solid">
        <fgColor rgb="FFFF0000"/>
        <bgColor rgb="FFEEECE1"/>
      </patternFill>
    </fill>
    <fill>
      <patternFill patternType="solid">
        <fgColor rgb="FFFF0000"/>
        <bgColor rgb="FFF6B26B"/>
      </patternFill>
    </fill>
    <fill>
      <patternFill patternType="solid">
        <fgColor rgb="FFFF0000"/>
        <bgColor rgb="FFEAD1DC"/>
      </patternFill>
    </fill>
    <fill>
      <patternFill patternType="solid">
        <fgColor rgb="FFFF0000"/>
        <bgColor rgb="FFB6D7A8"/>
      </patternFill>
    </fill>
    <fill>
      <patternFill patternType="solid">
        <fgColor rgb="FFFF0000"/>
        <bgColor rgb="FFFFD966"/>
      </patternFill>
    </fill>
    <fill>
      <patternFill patternType="solid">
        <fgColor rgb="FFFE0000"/>
        <bgColor rgb="FFFFD966"/>
      </patternFill>
    </fill>
    <fill>
      <patternFill patternType="solid">
        <fgColor rgb="FFFF0000"/>
        <bgColor rgb="FFE06666"/>
      </patternFill>
    </fill>
    <fill>
      <patternFill patternType="solid">
        <fgColor rgb="FFFE0000"/>
        <bgColor rgb="FFEEECE1"/>
      </patternFill>
    </fill>
    <fill>
      <patternFill patternType="solid">
        <fgColor rgb="FFFE0000"/>
        <bgColor rgb="FFC27BA0"/>
      </patternFill>
    </fill>
    <fill>
      <patternFill patternType="solid">
        <fgColor rgb="FFFE0000"/>
        <bgColor rgb="FFF6B26B"/>
      </patternFill>
    </fill>
    <fill>
      <patternFill patternType="solid">
        <fgColor rgb="FFFE0000"/>
        <bgColor rgb="FFEAD1DC"/>
      </patternFill>
    </fill>
    <fill>
      <patternFill patternType="solid">
        <fgColor rgb="FFFE0000"/>
        <bgColor rgb="FFB6D7A8"/>
      </patternFill>
    </fill>
    <fill>
      <patternFill patternType="solid">
        <fgColor rgb="FFFFFF66"/>
        <bgColor rgb="FFEEECE1"/>
      </patternFill>
    </fill>
    <fill>
      <patternFill patternType="solid">
        <fgColor rgb="FF00FFCC"/>
        <bgColor rgb="FFFDE9D9"/>
      </patternFill>
    </fill>
    <fill>
      <patternFill patternType="solid">
        <fgColor rgb="FF00FFCC"/>
        <bgColor rgb="FFF4CCCC"/>
      </patternFill>
    </fill>
    <fill>
      <patternFill patternType="solid">
        <fgColor rgb="FF29FFD6"/>
        <bgColor rgb="FFF4CCCC"/>
      </patternFill>
    </fill>
    <fill>
      <patternFill patternType="solid">
        <fgColor rgb="FFFF0000"/>
        <bgColor rgb="FFF4CCCC"/>
      </patternFill>
    </fill>
    <fill>
      <patternFill patternType="solid">
        <fgColor rgb="FFA3FE34"/>
        <bgColor rgb="FFEEECE1"/>
      </patternFill>
    </fill>
    <fill>
      <patternFill patternType="solid">
        <fgColor rgb="FF00FFCC"/>
        <bgColor rgb="FFFFFFFF"/>
      </patternFill>
    </fill>
    <fill>
      <patternFill patternType="solid">
        <fgColor rgb="FF00FFCC"/>
        <bgColor rgb="FFFFFF00"/>
      </patternFill>
    </fill>
    <fill>
      <patternFill patternType="solid">
        <fgColor rgb="FFA3FE34"/>
        <bgColor rgb="FFC27BA0"/>
      </patternFill>
    </fill>
    <fill>
      <patternFill patternType="solid">
        <fgColor rgb="FFA3FE34"/>
        <bgColor rgb="FFF6B26B"/>
      </patternFill>
    </fill>
    <fill>
      <patternFill patternType="solid">
        <fgColor rgb="FFA3FE34"/>
        <bgColor rgb="FFEAD1DC"/>
      </patternFill>
    </fill>
    <fill>
      <patternFill patternType="solid">
        <fgColor rgb="FFA3FE34"/>
        <bgColor rgb="FFB6D7A8"/>
      </patternFill>
    </fill>
    <fill>
      <patternFill patternType="solid">
        <fgColor rgb="FFA3FE34"/>
        <bgColor rgb="FFFFD966"/>
      </patternFill>
    </fill>
    <fill>
      <patternFill patternType="solid">
        <fgColor rgb="FFFFFF66"/>
        <bgColor rgb="FFF4CCCC"/>
      </patternFill>
    </fill>
    <fill>
      <patternFill patternType="solid">
        <fgColor rgb="FF4CFA69"/>
        <bgColor rgb="FFEEECE1"/>
      </patternFill>
    </fill>
    <fill>
      <patternFill patternType="solid">
        <fgColor rgb="FF93C47D"/>
        <bgColor rgb="FF93C47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0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vertical="center"/>
    </xf>
    <xf numFmtId="0" fontId="1" fillId="2" borderId="0" xfId="0" applyFont="1" applyFill="1"/>
    <xf numFmtId="49" fontId="1" fillId="3" borderId="0" xfId="0" applyNumberFormat="1" applyFont="1" applyFill="1"/>
    <xf numFmtId="1" fontId="4" fillId="3" borderId="0" xfId="0" applyNumberFormat="1" applyFont="1" applyFill="1"/>
    <xf numFmtId="0" fontId="1" fillId="3" borderId="0" xfId="0" applyFont="1" applyFill="1"/>
    <xf numFmtId="0" fontId="4" fillId="3" borderId="0" xfId="0" applyFont="1" applyFill="1"/>
    <xf numFmtId="1" fontId="4" fillId="4" borderId="0" xfId="0" applyNumberFormat="1" applyFont="1" applyFill="1"/>
    <xf numFmtId="0" fontId="4" fillId="4" borderId="0" xfId="0" applyFont="1" applyFill="1"/>
    <xf numFmtId="3" fontId="1" fillId="5" borderId="0" xfId="0" applyNumberFormat="1" applyFont="1" applyFill="1"/>
    <xf numFmtId="0" fontId="1" fillId="5" borderId="0" xfId="0" applyFont="1" applyFill="1"/>
    <xf numFmtId="0" fontId="5" fillId="6" borderId="0" xfId="0" applyFont="1" applyFill="1"/>
    <xf numFmtId="0" fontId="6" fillId="6" borderId="0" xfId="0" applyFont="1" applyFill="1"/>
    <xf numFmtId="0" fontId="3" fillId="8" borderId="0" xfId="0" applyFont="1" applyFill="1"/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12" fillId="9" borderId="1" xfId="0" applyNumberFormat="1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1" fontId="8" fillId="9" borderId="6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 wrapText="1"/>
    </xf>
    <xf numFmtId="164" fontId="14" fillId="10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49" fontId="16" fillId="12" borderId="1" xfId="0" applyNumberFormat="1" applyFont="1" applyFill="1" applyBorder="1" applyAlignment="1">
      <alignment horizontal="center" vertical="center" wrapText="1"/>
    </xf>
    <xf numFmtId="1" fontId="17" fillId="12" borderId="1" xfId="0" applyNumberFormat="1" applyFont="1" applyFill="1" applyBorder="1" applyAlignment="1">
      <alignment horizontal="center" vertical="center" wrapText="1"/>
    </xf>
    <xf numFmtId="164" fontId="16" fillId="12" borderId="1" xfId="0" applyNumberFormat="1" applyFont="1" applyFill="1" applyBorder="1" applyAlignment="1">
      <alignment horizontal="center" vertical="center" wrapText="1"/>
    </xf>
    <xf numFmtId="164" fontId="17" fillId="12" borderId="7" xfId="0" applyNumberFormat="1" applyFont="1" applyFill="1" applyBorder="1" applyAlignment="1">
      <alignment horizontal="center" vertical="center" wrapText="1"/>
    </xf>
    <xf numFmtId="0" fontId="0" fillId="13" borderId="8" xfId="0" applyFill="1" applyBorder="1"/>
    <xf numFmtId="3" fontId="15" fillId="14" borderId="5" xfId="0" applyNumberFormat="1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166" fontId="15" fillId="14" borderId="2" xfId="0" applyNumberFormat="1" applyFont="1" applyFill="1" applyBorder="1" applyAlignment="1">
      <alignment horizontal="center" vertical="center" wrapText="1"/>
    </xf>
    <xf numFmtId="1" fontId="10" fillId="15" borderId="1" xfId="0" applyNumberFormat="1" applyFont="1" applyFill="1" applyBorder="1" applyAlignment="1">
      <alignment horizontal="center" vertical="center" wrapText="1"/>
    </xf>
    <xf numFmtId="1" fontId="13" fillId="15" borderId="1" xfId="0" applyNumberFormat="1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64" fontId="14" fillId="10" borderId="2" xfId="0" applyNumberFormat="1" applyFont="1" applyFill="1" applyBorder="1" applyAlignment="1">
      <alignment horizontal="center" vertical="center"/>
    </xf>
    <xf numFmtId="165" fontId="14" fillId="11" borderId="2" xfId="0" applyNumberFormat="1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49" fontId="16" fillId="12" borderId="2" xfId="0" applyNumberFormat="1" applyFont="1" applyFill="1" applyBorder="1" applyAlignment="1">
      <alignment horizontal="center" vertical="center" wrapText="1"/>
    </xf>
    <xf numFmtId="1" fontId="17" fillId="12" borderId="2" xfId="0" applyNumberFormat="1" applyFont="1" applyFill="1" applyBorder="1" applyAlignment="1">
      <alignment horizontal="center" vertical="center" wrapText="1"/>
    </xf>
    <xf numFmtId="164" fontId="16" fillId="12" borderId="2" xfId="0" applyNumberFormat="1" applyFont="1" applyFill="1" applyBorder="1" applyAlignment="1">
      <alignment horizontal="center" vertical="center" wrapText="1"/>
    </xf>
    <xf numFmtId="164" fontId="17" fillId="12" borderId="2" xfId="0" applyNumberFormat="1" applyFont="1" applyFill="1" applyBorder="1" applyAlignment="1">
      <alignment horizontal="center" vertical="center" wrapText="1"/>
    </xf>
    <xf numFmtId="1" fontId="17" fillId="17" borderId="1" xfId="0" applyNumberFormat="1" applyFont="1" applyFill="1" applyBorder="1" applyAlignment="1">
      <alignment horizontal="center" vertical="center" wrapText="1"/>
    </xf>
    <xf numFmtId="164" fontId="17" fillId="17" borderId="1" xfId="0" applyNumberFormat="1" applyFont="1" applyFill="1" applyBorder="1" applyAlignment="1">
      <alignment horizontal="center" vertical="center" wrapText="1"/>
    </xf>
    <xf numFmtId="3" fontId="15" fillId="14" borderId="2" xfId="0" applyNumberFormat="1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7" fillId="17" borderId="2" xfId="0" applyNumberFormat="1" applyFont="1" applyFill="1" applyBorder="1" applyAlignment="1">
      <alignment horizontal="center" vertical="center" wrapText="1"/>
    </xf>
    <xf numFmtId="164" fontId="17" fillId="17" borderId="2" xfId="0" applyNumberFormat="1" applyFont="1" applyFill="1" applyBorder="1" applyAlignment="1">
      <alignment horizontal="center" vertical="center" wrapText="1"/>
    </xf>
    <xf numFmtId="14" fontId="19" fillId="18" borderId="2" xfId="0" applyNumberFormat="1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 wrapText="1"/>
    </xf>
    <xf numFmtId="164" fontId="14" fillId="19" borderId="2" xfId="0" applyNumberFormat="1" applyFont="1" applyFill="1" applyBorder="1" applyAlignment="1">
      <alignment horizontal="center" vertical="center"/>
    </xf>
    <xf numFmtId="3" fontId="15" fillId="14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1" fontId="10" fillId="15" borderId="2" xfId="0" applyNumberFormat="1" applyFont="1" applyFill="1" applyBorder="1" applyAlignment="1">
      <alignment horizontal="center" vertical="center" wrapText="1"/>
    </xf>
    <xf numFmtId="1" fontId="13" fillId="15" borderId="2" xfId="0" applyNumberFormat="1" applyFont="1" applyFill="1" applyBorder="1" applyAlignment="1">
      <alignment horizontal="center" vertical="center" wrapText="1"/>
    </xf>
    <xf numFmtId="164" fontId="18" fillId="10" borderId="2" xfId="0" applyNumberFormat="1" applyFont="1" applyFill="1" applyBorder="1" applyAlignment="1">
      <alignment horizontal="center" vertical="center"/>
    </xf>
    <xf numFmtId="1" fontId="11" fillId="11" borderId="2" xfId="0" applyNumberFormat="1" applyFont="1" applyFill="1" applyBorder="1" applyAlignment="1">
      <alignment horizontal="center" vertical="center" wrapText="1"/>
    </xf>
    <xf numFmtId="1" fontId="16" fillId="12" borderId="2" xfId="0" applyNumberFormat="1" applyFont="1" applyFill="1" applyBorder="1" applyAlignment="1">
      <alignment horizontal="center" vertical="center" wrapText="1"/>
    </xf>
    <xf numFmtId="14" fontId="7" fillId="8" borderId="2" xfId="0" applyNumberFormat="1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left" vertical="center" wrapText="1"/>
    </xf>
    <xf numFmtId="164" fontId="14" fillId="20" borderId="2" xfId="0" applyNumberFormat="1" applyFont="1" applyFill="1" applyBorder="1" applyAlignment="1">
      <alignment horizontal="center" vertical="center"/>
    </xf>
    <xf numFmtId="1" fontId="11" fillId="22" borderId="2" xfId="0" applyNumberFormat="1" applyFont="1" applyFill="1" applyBorder="1" applyAlignment="1">
      <alignment horizontal="center" vertical="center" wrapText="1"/>
    </xf>
    <xf numFmtId="164" fontId="11" fillId="22" borderId="2" xfId="0" applyNumberFormat="1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center" vertical="center" wrapText="1"/>
    </xf>
    <xf numFmtId="49" fontId="16" fillId="23" borderId="2" xfId="0" applyNumberFormat="1" applyFont="1" applyFill="1" applyBorder="1" applyAlignment="1">
      <alignment horizontal="center" vertical="center" wrapText="1"/>
    </xf>
    <xf numFmtId="1" fontId="17" fillId="23" borderId="2" xfId="0" applyNumberFormat="1" applyFont="1" applyFill="1" applyBorder="1" applyAlignment="1">
      <alignment horizontal="center" vertical="center" wrapText="1"/>
    </xf>
    <xf numFmtId="164" fontId="16" fillId="23" borderId="2" xfId="0" applyNumberFormat="1" applyFont="1" applyFill="1" applyBorder="1" applyAlignment="1">
      <alignment horizontal="center" vertical="center" wrapText="1"/>
    </xf>
    <xf numFmtId="164" fontId="17" fillId="23" borderId="2" xfId="0" applyNumberFormat="1" applyFont="1" applyFill="1" applyBorder="1" applyAlignment="1">
      <alignment horizontal="center" vertical="center" wrapText="1"/>
    </xf>
    <xf numFmtId="1" fontId="17" fillId="24" borderId="2" xfId="0" applyNumberFormat="1" applyFont="1" applyFill="1" applyBorder="1" applyAlignment="1">
      <alignment horizontal="center" vertical="center" wrapText="1"/>
    </xf>
    <xf numFmtId="164" fontId="17" fillId="24" borderId="2" xfId="0" applyNumberFormat="1" applyFont="1" applyFill="1" applyBorder="1" applyAlignment="1">
      <alignment horizontal="center" vertical="center" wrapText="1"/>
    </xf>
    <xf numFmtId="3" fontId="15" fillId="25" borderId="2" xfId="0" applyNumberFormat="1" applyFont="1" applyFill="1" applyBorder="1" applyAlignment="1">
      <alignment horizontal="center" vertical="center" wrapText="1"/>
    </xf>
    <xf numFmtId="0" fontId="15" fillId="25" borderId="2" xfId="0" applyFont="1" applyFill="1" applyBorder="1" applyAlignment="1">
      <alignment horizontal="center" vertical="center" wrapText="1"/>
    </xf>
    <xf numFmtId="166" fontId="15" fillId="25" borderId="2" xfId="0" applyNumberFormat="1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13" fillId="26" borderId="2" xfId="0" applyFont="1" applyFill="1" applyBorder="1" applyAlignment="1">
      <alignment horizontal="center" vertical="center" wrapText="1"/>
    </xf>
    <xf numFmtId="0" fontId="14" fillId="27" borderId="2" xfId="0" applyFont="1" applyFill="1" applyBorder="1" applyAlignment="1">
      <alignment horizontal="left" vertical="center" wrapText="1"/>
    </xf>
    <xf numFmtId="166" fontId="11" fillId="22" borderId="2" xfId="0" applyNumberFormat="1" applyFont="1" applyFill="1" applyBorder="1" applyAlignment="1">
      <alignment horizontal="center" vertical="center" wrapText="1"/>
    </xf>
    <xf numFmtId="164" fontId="17" fillId="24" borderId="1" xfId="0" applyNumberFormat="1" applyFont="1" applyFill="1" applyBorder="1" applyAlignment="1">
      <alignment horizontal="center" vertical="center" wrapText="1"/>
    </xf>
    <xf numFmtId="3" fontId="15" fillId="25" borderId="1" xfId="0" applyNumberFormat="1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center" vertical="center" wrapText="1"/>
    </xf>
    <xf numFmtId="1" fontId="10" fillId="26" borderId="2" xfId="0" applyNumberFormat="1" applyFont="1" applyFill="1" applyBorder="1" applyAlignment="1">
      <alignment horizontal="center" vertical="center" wrapText="1"/>
    </xf>
    <xf numFmtId="1" fontId="13" fillId="26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4" fontId="20" fillId="18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14" fillId="28" borderId="2" xfId="0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 wrapText="1"/>
    </xf>
    <xf numFmtId="166" fontId="17" fillId="12" borderId="2" xfId="0" applyNumberFormat="1" applyFont="1" applyFill="1" applyBorder="1" applyAlignment="1">
      <alignment horizontal="center" vertical="center" wrapText="1"/>
    </xf>
    <xf numFmtId="164" fontId="21" fillId="11" borderId="2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49" fontId="23" fillId="12" borderId="2" xfId="0" applyNumberFormat="1" applyFont="1" applyFill="1" applyBorder="1" applyAlignment="1">
      <alignment horizontal="center" vertical="center" wrapText="1"/>
    </xf>
    <xf numFmtId="1" fontId="24" fillId="12" borderId="2" xfId="0" applyNumberFormat="1" applyFont="1" applyFill="1" applyBorder="1" applyAlignment="1">
      <alignment horizontal="center" vertical="center" wrapText="1"/>
    </xf>
    <xf numFmtId="1" fontId="23" fillId="12" borderId="2" xfId="0" applyNumberFormat="1" applyFont="1" applyFill="1" applyBorder="1" applyAlignment="1">
      <alignment horizontal="center" vertical="center" wrapText="1"/>
    </xf>
    <xf numFmtId="164" fontId="23" fillId="12" borderId="2" xfId="0" applyNumberFormat="1" applyFont="1" applyFill="1" applyBorder="1" applyAlignment="1">
      <alignment horizontal="center" vertical="center" wrapText="1"/>
    </xf>
    <xf numFmtId="164" fontId="24" fillId="12" borderId="2" xfId="0" applyNumberFormat="1" applyFont="1" applyFill="1" applyBorder="1" applyAlignment="1">
      <alignment horizontal="center" vertical="center" wrapText="1"/>
    </xf>
    <xf numFmtId="1" fontId="24" fillId="17" borderId="2" xfId="0" applyNumberFormat="1" applyFont="1" applyFill="1" applyBorder="1" applyAlignment="1">
      <alignment horizontal="center" vertical="center" wrapText="1"/>
    </xf>
    <xf numFmtId="0" fontId="18" fillId="29" borderId="2" xfId="0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left" vertical="center" wrapText="1"/>
    </xf>
    <xf numFmtId="164" fontId="14" fillId="30" borderId="2" xfId="0" applyNumberFormat="1" applyFont="1" applyFill="1" applyBorder="1" applyAlignment="1">
      <alignment horizontal="center" vertical="center"/>
    </xf>
    <xf numFmtId="1" fontId="11" fillId="31" borderId="2" xfId="0" applyNumberFormat="1" applyFont="1" applyFill="1" applyBorder="1" applyAlignment="1">
      <alignment horizontal="center" vertical="center" wrapText="1"/>
    </xf>
    <xf numFmtId="166" fontId="11" fillId="31" borderId="2" xfId="0" applyNumberFormat="1" applyFont="1" applyFill="1" applyBorder="1" applyAlignment="1">
      <alignment horizontal="center" vertical="center" wrapText="1"/>
    </xf>
    <xf numFmtId="0" fontId="15" fillId="32" borderId="2" xfId="0" applyFont="1" applyFill="1" applyBorder="1" applyAlignment="1">
      <alignment horizontal="center" vertical="center" wrapText="1"/>
    </xf>
    <xf numFmtId="49" fontId="16" fillId="33" borderId="2" xfId="0" applyNumberFormat="1" applyFont="1" applyFill="1" applyBorder="1" applyAlignment="1">
      <alignment horizontal="center" vertical="center" wrapText="1"/>
    </xf>
    <xf numFmtId="1" fontId="17" fillId="33" borderId="2" xfId="0" applyNumberFormat="1" applyFont="1" applyFill="1" applyBorder="1" applyAlignment="1">
      <alignment horizontal="center" vertical="center" wrapText="1"/>
    </xf>
    <xf numFmtId="1" fontId="16" fillId="33" borderId="2" xfId="0" applyNumberFormat="1" applyFont="1" applyFill="1" applyBorder="1" applyAlignment="1">
      <alignment horizontal="center" vertical="center" wrapText="1"/>
    </xf>
    <xf numFmtId="164" fontId="16" fillId="33" borderId="2" xfId="0" applyNumberFormat="1" applyFont="1" applyFill="1" applyBorder="1" applyAlignment="1">
      <alignment horizontal="center" vertical="center" wrapText="1"/>
    </xf>
    <xf numFmtId="164" fontId="17" fillId="33" borderId="2" xfId="0" applyNumberFormat="1" applyFont="1" applyFill="1" applyBorder="1" applyAlignment="1">
      <alignment horizontal="center" vertical="center" wrapText="1"/>
    </xf>
    <xf numFmtId="1" fontId="17" fillId="34" borderId="2" xfId="0" applyNumberFormat="1" applyFont="1" applyFill="1" applyBorder="1" applyAlignment="1">
      <alignment horizontal="center" vertical="center" wrapText="1"/>
    </xf>
    <xf numFmtId="164" fontId="17" fillId="34" borderId="2" xfId="0" applyNumberFormat="1" applyFont="1" applyFill="1" applyBorder="1" applyAlignment="1">
      <alignment horizontal="center" vertical="center" wrapText="1"/>
    </xf>
    <xf numFmtId="3" fontId="15" fillId="35" borderId="2" xfId="0" applyNumberFormat="1" applyFont="1" applyFill="1" applyBorder="1" applyAlignment="1">
      <alignment horizontal="center" vertical="center" wrapText="1"/>
    </xf>
    <xf numFmtId="0" fontId="15" fillId="35" borderId="2" xfId="0" applyFont="1" applyFill="1" applyBorder="1" applyAlignment="1">
      <alignment horizontal="center" vertical="center" wrapText="1"/>
    </xf>
    <xf numFmtId="166" fontId="15" fillId="35" borderId="2" xfId="0" applyNumberFormat="1" applyFont="1" applyFill="1" applyBorder="1" applyAlignment="1">
      <alignment horizontal="center" vertical="center" wrapText="1"/>
    </xf>
    <xf numFmtId="0" fontId="10" fillId="36" borderId="2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4" fillId="39" borderId="2" xfId="0" applyFont="1" applyFill="1" applyBorder="1" applyAlignment="1">
      <alignment horizontal="center" vertical="center"/>
    </xf>
    <xf numFmtId="0" fontId="14" fillId="39" borderId="2" xfId="0" applyFont="1" applyFill="1" applyBorder="1" applyAlignment="1">
      <alignment horizontal="left" vertical="center" wrapText="1"/>
    </xf>
    <xf numFmtId="164" fontId="14" fillId="39" borderId="2" xfId="0" applyNumberFormat="1" applyFont="1" applyFill="1" applyBorder="1" applyAlignment="1">
      <alignment horizontal="center" vertical="center"/>
    </xf>
    <xf numFmtId="1" fontId="11" fillId="40" borderId="2" xfId="0" applyNumberFormat="1" applyFont="1" applyFill="1" applyBorder="1" applyAlignment="1">
      <alignment horizontal="center" vertical="center" wrapText="1"/>
    </xf>
    <xf numFmtId="166" fontId="11" fillId="40" borderId="2" xfId="0" applyNumberFormat="1" applyFont="1" applyFill="1" applyBorder="1" applyAlignment="1">
      <alignment horizontal="center" vertical="center" wrapText="1"/>
    </xf>
    <xf numFmtId="0" fontId="15" fillId="39" borderId="2" xfId="0" applyFont="1" applyFill="1" applyBorder="1" applyAlignment="1">
      <alignment horizontal="center" vertical="center" wrapText="1"/>
    </xf>
    <xf numFmtId="49" fontId="16" fillId="41" borderId="2" xfId="0" applyNumberFormat="1" applyFont="1" applyFill="1" applyBorder="1" applyAlignment="1">
      <alignment horizontal="center" vertical="center" wrapText="1"/>
    </xf>
    <xf numFmtId="1" fontId="17" fillId="41" borderId="2" xfId="0" applyNumberFormat="1" applyFont="1" applyFill="1" applyBorder="1" applyAlignment="1">
      <alignment horizontal="center" vertical="center" wrapText="1"/>
    </xf>
    <xf numFmtId="1" fontId="16" fillId="41" borderId="2" xfId="0" applyNumberFormat="1" applyFont="1" applyFill="1" applyBorder="1" applyAlignment="1">
      <alignment horizontal="center" vertical="center" wrapText="1"/>
    </xf>
    <xf numFmtId="164" fontId="16" fillId="41" borderId="2" xfId="0" applyNumberFormat="1" applyFont="1" applyFill="1" applyBorder="1" applyAlignment="1">
      <alignment horizontal="center" vertical="center" wrapText="1"/>
    </xf>
    <xf numFmtId="164" fontId="17" fillId="41" borderId="2" xfId="0" applyNumberFormat="1" applyFont="1" applyFill="1" applyBorder="1" applyAlignment="1">
      <alignment horizontal="center" vertical="center" wrapText="1"/>
    </xf>
    <xf numFmtId="1" fontId="17" fillId="42" borderId="2" xfId="0" applyNumberFormat="1" applyFont="1" applyFill="1" applyBorder="1" applyAlignment="1">
      <alignment horizontal="center" vertical="center" wrapText="1"/>
    </xf>
    <xf numFmtId="164" fontId="17" fillId="42" borderId="2" xfId="0" applyNumberFormat="1" applyFont="1" applyFill="1" applyBorder="1" applyAlignment="1">
      <alignment horizontal="center" vertical="center" wrapText="1"/>
    </xf>
    <xf numFmtId="3" fontId="15" fillId="43" borderId="2" xfId="0" applyNumberFormat="1" applyFont="1" applyFill="1" applyBorder="1" applyAlignment="1">
      <alignment horizontal="center" vertical="center" wrapText="1"/>
    </xf>
    <xf numFmtId="0" fontId="15" fillId="43" borderId="2" xfId="0" applyFont="1" applyFill="1" applyBorder="1" applyAlignment="1">
      <alignment horizontal="center" vertical="center" wrapText="1"/>
    </xf>
    <xf numFmtId="166" fontId="15" fillId="43" borderId="2" xfId="0" applyNumberFormat="1" applyFont="1" applyFill="1" applyBorder="1" applyAlignment="1">
      <alignment horizontal="center" vertical="center" wrapText="1"/>
    </xf>
    <xf numFmtId="0" fontId="10" fillId="37" borderId="2" xfId="0" applyFont="1" applyFill="1" applyBorder="1" applyAlignment="1">
      <alignment horizontal="center" vertical="center" wrapText="1"/>
    </xf>
    <xf numFmtId="0" fontId="13" fillId="37" borderId="2" xfId="0" applyFont="1" applyFill="1" applyBorder="1" applyAlignment="1">
      <alignment horizontal="center" vertical="center" wrapText="1"/>
    </xf>
    <xf numFmtId="0" fontId="14" fillId="32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left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 wrapText="1"/>
    </xf>
    <xf numFmtId="1" fontId="17" fillId="3" borderId="2" xfId="0" applyNumberFormat="1" applyFont="1" applyFill="1" applyBorder="1" applyAlignment="1">
      <alignment horizontal="center" vertical="center" wrapText="1"/>
    </xf>
    <xf numFmtId="1" fontId="16" fillId="3" borderId="2" xfId="0" applyNumberFormat="1" applyFont="1" applyFill="1" applyBorder="1" applyAlignment="1">
      <alignment horizontal="center" vertical="center" wrapText="1"/>
    </xf>
    <xf numFmtId="164" fontId="16" fillId="3" borderId="2" xfId="0" applyNumberFormat="1" applyFont="1" applyFill="1" applyBorder="1" applyAlignment="1">
      <alignment horizontal="center" vertical="center" wrapText="1"/>
    </xf>
    <xf numFmtId="164" fontId="17" fillId="3" borderId="2" xfId="0" applyNumberFormat="1" applyFont="1" applyFill="1" applyBorder="1" applyAlignment="1">
      <alignment horizontal="center" vertical="center" wrapText="1"/>
    </xf>
    <xf numFmtId="1" fontId="17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3" fontId="15" fillId="5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66" fontId="15" fillId="5" borderId="2" xfId="0" applyNumberFormat="1" applyFont="1" applyFill="1" applyBorder="1" applyAlignment="1">
      <alignment horizontal="center" vertical="center" wrapText="1"/>
    </xf>
    <xf numFmtId="1" fontId="10" fillId="6" borderId="2" xfId="0" applyNumberFormat="1" applyFont="1" applyFill="1" applyBorder="1" applyAlignment="1">
      <alignment horizontal="center" vertical="center" wrapText="1"/>
    </xf>
    <xf numFmtId="1" fontId="13" fillId="6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164" fontId="14" fillId="13" borderId="2" xfId="0" applyNumberFormat="1" applyFont="1" applyFill="1" applyBorder="1" applyAlignment="1">
      <alignment horizontal="center" vertical="center"/>
    </xf>
    <xf numFmtId="0" fontId="18" fillId="44" borderId="2" xfId="0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 wrapText="1"/>
    </xf>
    <xf numFmtId="3" fontId="15" fillId="5" borderId="9" xfId="0" applyNumberFormat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166" fontId="15" fillId="5" borderId="9" xfId="0" applyNumberFormat="1" applyFont="1" applyFill="1" applyBorder="1" applyAlignment="1">
      <alignment horizontal="center" vertical="center" wrapText="1"/>
    </xf>
    <xf numFmtId="164" fontId="17" fillId="17" borderId="3" xfId="0" applyNumberFormat="1" applyFont="1" applyFill="1" applyBorder="1" applyAlignment="1">
      <alignment horizontal="center" vertical="center" wrapText="1"/>
    </xf>
    <xf numFmtId="3" fontId="15" fillId="14" borderId="9" xfId="0" applyNumberFormat="1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166" fontId="15" fillId="14" borderId="9" xfId="0" applyNumberFormat="1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166" fontId="15" fillId="14" borderId="1" xfId="0" applyNumberFormat="1" applyFont="1" applyFill="1" applyBorder="1" applyAlignment="1">
      <alignment horizontal="center" vertical="center" wrapText="1"/>
    </xf>
    <xf numFmtId="14" fontId="20" fillId="18" borderId="9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 wrapText="1"/>
    </xf>
    <xf numFmtId="1" fontId="11" fillId="13" borderId="2" xfId="0" applyNumberFormat="1" applyFont="1" applyFill="1" applyBorder="1" applyAlignment="1">
      <alignment horizontal="center" vertical="center" wrapText="1"/>
    </xf>
    <xf numFmtId="166" fontId="11" fillId="13" borderId="2" xfId="0" applyNumberFormat="1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49" fontId="16" fillId="13" borderId="2" xfId="0" applyNumberFormat="1" applyFont="1" applyFill="1" applyBorder="1" applyAlignment="1">
      <alignment horizontal="center" vertical="center" wrapText="1"/>
    </xf>
    <xf numFmtId="1" fontId="17" fillId="13" borderId="2" xfId="0" applyNumberFormat="1" applyFont="1" applyFill="1" applyBorder="1" applyAlignment="1">
      <alignment horizontal="center" vertical="center" wrapText="1"/>
    </xf>
    <xf numFmtId="1" fontId="16" fillId="13" borderId="2" xfId="0" applyNumberFormat="1" applyFont="1" applyFill="1" applyBorder="1" applyAlignment="1">
      <alignment horizontal="center" vertical="center" wrapText="1"/>
    </xf>
    <xf numFmtId="164" fontId="16" fillId="13" borderId="2" xfId="0" applyNumberFormat="1" applyFont="1" applyFill="1" applyBorder="1" applyAlignment="1">
      <alignment horizontal="center" vertical="center" wrapText="1"/>
    </xf>
    <xf numFmtId="164" fontId="17" fillId="13" borderId="2" xfId="0" applyNumberFormat="1" applyFont="1" applyFill="1" applyBorder="1" applyAlignment="1">
      <alignment horizontal="center" vertical="center" wrapText="1"/>
    </xf>
    <xf numFmtId="3" fontId="15" fillId="13" borderId="2" xfId="0" applyNumberFormat="1" applyFont="1" applyFill="1" applyBorder="1" applyAlignment="1">
      <alignment horizontal="center" vertical="center" wrapText="1"/>
    </xf>
    <xf numFmtId="166" fontId="15" fillId="13" borderId="2" xfId="0" applyNumberFormat="1" applyFont="1" applyFill="1" applyBorder="1" applyAlignment="1">
      <alignment horizontal="center" vertical="center" wrapText="1"/>
    </xf>
    <xf numFmtId="1" fontId="10" fillId="13" borderId="2" xfId="0" applyNumberFormat="1" applyFont="1" applyFill="1" applyBorder="1" applyAlignment="1">
      <alignment horizontal="center" vertical="center" wrapText="1"/>
    </xf>
    <xf numFmtId="1" fontId="13" fillId="13" borderId="2" xfId="0" applyNumberFormat="1" applyFont="1" applyFill="1" applyBorder="1" applyAlignment="1">
      <alignment horizontal="center" vertical="center" wrapText="1"/>
    </xf>
    <xf numFmtId="0" fontId="18" fillId="45" borderId="2" xfId="0" applyFont="1" applyFill="1" applyBorder="1" applyAlignment="1">
      <alignment horizontal="center" vertical="center"/>
    </xf>
    <xf numFmtId="0" fontId="14" fillId="45" borderId="2" xfId="0" applyFont="1" applyFill="1" applyBorder="1" applyAlignment="1">
      <alignment horizontal="left" vertical="center" wrapText="1"/>
    </xf>
    <xf numFmtId="164" fontId="14" fillId="45" borderId="2" xfId="0" applyNumberFormat="1" applyFont="1" applyFill="1" applyBorder="1" applyAlignment="1">
      <alignment horizontal="center" vertical="center"/>
    </xf>
    <xf numFmtId="0" fontId="18" fillId="46" borderId="2" xfId="0" applyFont="1" applyFill="1" applyBorder="1" applyAlignment="1">
      <alignment horizontal="center" vertical="center"/>
    </xf>
    <xf numFmtId="0" fontId="14" fillId="46" borderId="2" xfId="0" applyFont="1" applyFill="1" applyBorder="1" applyAlignment="1">
      <alignment horizontal="left" vertical="center" wrapText="1"/>
    </xf>
    <xf numFmtId="164" fontId="14" fillId="46" borderId="2" xfId="0" applyNumberFormat="1" applyFont="1" applyFill="1" applyBorder="1" applyAlignment="1">
      <alignment horizontal="center" vertical="center"/>
    </xf>
    <xf numFmtId="0" fontId="14" fillId="47" borderId="2" xfId="0" applyFont="1" applyFill="1" applyBorder="1" applyAlignment="1">
      <alignment horizontal="center" vertical="center"/>
    </xf>
    <xf numFmtId="0" fontId="14" fillId="47" borderId="2" xfId="0" applyFont="1" applyFill="1" applyBorder="1" applyAlignment="1">
      <alignment horizontal="left" vertical="center" wrapText="1"/>
    </xf>
    <xf numFmtId="164" fontId="14" fillId="16" borderId="2" xfId="0" applyNumberFormat="1" applyFont="1" applyFill="1" applyBorder="1" applyAlignment="1">
      <alignment horizontal="center" vertical="center"/>
    </xf>
    <xf numFmtId="1" fontId="16" fillId="23" borderId="2" xfId="0" applyNumberFormat="1" applyFont="1" applyFill="1" applyBorder="1" applyAlignment="1">
      <alignment horizontal="center" vertical="center" wrapText="1"/>
    </xf>
    <xf numFmtId="0" fontId="14" fillId="46" borderId="2" xfId="0" applyFont="1" applyFill="1" applyBorder="1" applyAlignment="1">
      <alignment horizontal="center" vertical="center"/>
    </xf>
    <xf numFmtId="0" fontId="18" fillId="48" borderId="2" xfId="0" applyFont="1" applyFill="1" applyBorder="1" applyAlignment="1">
      <alignment horizontal="center" vertical="center"/>
    </xf>
    <xf numFmtId="0" fontId="14" fillId="48" borderId="2" xfId="0" applyFont="1" applyFill="1" applyBorder="1" applyAlignment="1">
      <alignment horizontal="left" vertical="center" wrapText="1"/>
    </xf>
    <xf numFmtId="164" fontId="11" fillId="31" borderId="2" xfId="0" applyNumberFormat="1" applyFont="1" applyFill="1" applyBorder="1" applyAlignment="1">
      <alignment horizontal="center" vertical="center" wrapText="1"/>
    </xf>
    <xf numFmtId="1" fontId="10" fillId="36" borderId="2" xfId="0" applyNumberFormat="1" applyFont="1" applyFill="1" applyBorder="1" applyAlignment="1">
      <alignment horizontal="center" vertical="center" wrapText="1"/>
    </xf>
    <xf numFmtId="1" fontId="13" fillId="36" borderId="2" xfId="0" applyNumberFormat="1" applyFont="1" applyFill="1" applyBorder="1" applyAlignment="1">
      <alignment horizontal="center" vertical="center" wrapText="1"/>
    </xf>
    <xf numFmtId="164" fontId="14" fillId="49" borderId="2" xfId="0" applyNumberFormat="1" applyFont="1" applyFill="1" applyBorder="1" applyAlignment="1">
      <alignment horizontal="center" vertical="center"/>
    </xf>
    <xf numFmtId="0" fontId="18" fillId="50" borderId="2" xfId="0" applyFont="1" applyFill="1" applyBorder="1" applyAlignment="1">
      <alignment horizontal="center" vertical="center"/>
    </xf>
    <xf numFmtId="0" fontId="14" fillId="50" borderId="2" xfId="0" applyFont="1" applyFill="1" applyBorder="1" applyAlignment="1">
      <alignment horizontal="left" vertical="center" wrapText="1"/>
    </xf>
    <xf numFmtId="164" fontId="14" fillId="51" borderId="2" xfId="0" applyNumberFormat="1" applyFont="1" applyFill="1" applyBorder="1" applyAlignment="1">
      <alignment horizontal="center" vertical="center"/>
    </xf>
    <xf numFmtId="0" fontId="14" fillId="49" borderId="2" xfId="0" applyFont="1" applyFill="1" applyBorder="1" applyAlignment="1">
      <alignment horizontal="center" vertical="center"/>
    </xf>
    <xf numFmtId="0" fontId="14" fillId="49" borderId="2" xfId="0" applyFont="1" applyFill="1" applyBorder="1" applyAlignment="1">
      <alignment horizontal="left" vertical="center" wrapText="1"/>
    </xf>
    <xf numFmtId="1" fontId="11" fillId="52" borderId="2" xfId="0" applyNumberFormat="1" applyFont="1" applyFill="1" applyBorder="1" applyAlignment="1">
      <alignment horizontal="center" vertical="center" wrapText="1"/>
    </xf>
    <xf numFmtId="166" fontId="11" fillId="52" borderId="2" xfId="0" applyNumberFormat="1" applyFont="1" applyFill="1" applyBorder="1" applyAlignment="1">
      <alignment horizontal="center" vertical="center" wrapText="1"/>
    </xf>
    <xf numFmtId="0" fontId="15" fillId="49" borderId="2" xfId="0" applyFont="1" applyFill="1" applyBorder="1" applyAlignment="1">
      <alignment horizontal="center" vertical="center" wrapText="1"/>
    </xf>
    <xf numFmtId="49" fontId="16" fillId="53" borderId="2" xfId="0" applyNumberFormat="1" applyFont="1" applyFill="1" applyBorder="1" applyAlignment="1">
      <alignment horizontal="center" vertical="center" wrapText="1"/>
    </xf>
    <xf numFmtId="1" fontId="17" fillId="53" borderId="2" xfId="0" applyNumberFormat="1" applyFont="1" applyFill="1" applyBorder="1" applyAlignment="1">
      <alignment horizontal="center" vertical="center" wrapText="1"/>
    </xf>
    <xf numFmtId="1" fontId="16" fillId="53" borderId="2" xfId="0" applyNumberFormat="1" applyFont="1" applyFill="1" applyBorder="1" applyAlignment="1">
      <alignment horizontal="center" vertical="center" wrapText="1"/>
    </xf>
    <xf numFmtId="164" fontId="16" fillId="53" borderId="2" xfId="0" applyNumberFormat="1" applyFont="1" applyFill="1" applyBorder="1" applyAlignment="1">
      <alignment horizontal="center" vertical="center" wrapText="1"/>
    </xf>
    <xf numFmtId="164" fontId="17" fillId="53" borderId="2" xfId="0" applyNumberFormat="1" applyFont="1" applyFill="1" applyBorder="1" applyAlignment="1">
      <alignment horizontal="center" vertical="center" wrapText="1"/>
    </xf>
    <xf numFmtId="1" fontId="17" fillId="54" borderId="2" xfId="0" applyNumberFormat="1" applyFont="1" applyFill="1" applyBorder="1" applyAlignment="1">
      <alignment horizontal="center" vertical="center" wrapText="1"/>
    </xf>
    <xf numFmtId="164" fontId="17" fillId="54" borderId="2" xfId="0" applyNumberFormat="1" applyFont="1" applyFill="1" applyBorder="1" applyAlignment="1">
      <alignment horizontal="center" vertical="center" wrapText="1"/>
    </xf>
    <xf numFmtId="3" fontId="15" fillId="55" borderId="2" xfId="0" applyNumberFormat="1" applyFont="1" applyFill="1" applyBorder="1" applyAlignment="1">
      <alignment horizontal="center" vertical="center" wrapText="1"/>
    </xf>
    <xf numFmtId="0" fontId="15" fillId="55" borderId="2" xfId="0" applyFont="1" applyFill="1" applyBorder="1" applyAlignment="1">
      <alignment horizontal="center" vertical="center" wrapText="1"/>
    </xf>
    <xf numFmtId="166" fontId="15" fillId="55" borderId="2" xfId="0" applyNumberFormat="1" applyFont="1" applyFill="1" applyBorder="1" applyAlignment="1">
      <alignment horizontal="center" vertical="center" wrapText="1"/>
    </xf>
    <xf numFmtId="0" fontId="10" fillId="56" borderId="2" xfId="0" applyFont="1" applyFill="1" applyBorder="1" applyAlignment="1">
      <alignment horizontal="center" vertical="center" wrapText="1"/>
    </xf>
    <xf numFmtId="0" fontId="13" fillId="56" borderId="2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6" fillId="0" borderId="0" xfId="0" applyFont="1"/>
    <xf numFmtId="1" fontId="11" fillId="11" borderId="9" xfId="0" applyNumberFormat="1" applyFont="1" applyFill="1" applyBorder="1" applyAlignment="1">
      <alignment horizontal="center" vertical="center" wrapText="1"/>
    </xf>
    <xf numFmtId="166" fontId="11" fillId="11" borderId="9" xfId="0" applyNumberFormat="1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49" fontId="16" fillId="12" borderId="9" xfId="0" applyNumberFormat="1" applyFont="1" applyFill="1" applyBorder="1" applyAlignment="1">
      <alignment horizontal="center" vertical="center" wrapText="1"/>
    </xf>
    <xf numFmtId="1" fontId="17" fillId="12" borderId="9" xfId="0" applyNumberFormat="1" applyFont="1" applyFill="1" applyBorder="1" applyAlignment="1">
      <alignment horizontal="center" vertical="center" wrapText="1"/>
    </xf>
    <xf numFmtId="1" fontId="16" fillId="12" borderId="9" xfId="0" applyNumberFormat="1" applyFont="1" applyFill="1" applyBorder="1" applyAlignment="1">
      <alignment horizontal="center" vertical="center" wrapText="1"/>
    </xf>
    <xf numFmtId="166" fontId="16" fillId="12" borderId="9" xfId="0" applyNumberFormat="1" applyFont="1" applyFill="1" applyBorder="1" applyAlignment="1">
      <alignment horizontal="center" vertical="center" wrapText="1"/>
    </xf>
    <xf numFmtId="166" fontId="17" fillId="12" borderId="9" xfId="0" applyNumberFormat="1" applyFont="1" applyFill="1" applyBorder="1" applyAlignment="1">
      <alignment horizontal="center" vertical="center" wrapText="1"/>
    </xf>
    <xf numFmtId="164" fontId="14" fillId="20" borderId="3" xfId="0" applyNumberFormat="1" applyFont="1" applyFill="1" applyBorder="1" applyAlignment="1">
      <alignment horizontal="center" vertical="center"/>
    </xf>
    <xf numFmtId="1" fontId="11" fillId="11" borderId="8" xfId="0" applyNumberFormat="1" applyFont="1" applyFill="1" applyBorder="1" applyAlignment="1">
      <alignment horizontal="center" vertical="center" wrapText="1"/>
    </xf>
    <xf numFmtId="166" fontId="11" fillId="11" borderId="8" xfId="0" applyNumberFormat="1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49" fontId="16" fillId="12" borderId="10" xfId="0" applyNumberFormat="1" applyFont="1" applyFill="1" applyBorder="1" applyAlignment="1">
      <alignment horizontal="center" vertical="center" wrapText="1"/>
    </xf>
    <xf numFmtId="1" fontId="17" fillId="12" borderId="8" xfId="0" applyNumberFormat="1" applyFont="1" applyFill="1" applyBorder="1" applyAlignment="1">
      <alignment horizontal="center" vertical="center" wrapText="1"/>
    </xf>
    <xf numFmtId="1" fontId="16" fillId="12" borderId="8" xfId="0" applyNumberFormat="1" applyFont="1" applyFill="1" applyBorder="1" applyAlignment="1">
      <alignment horizontal="center" vertical="center" wrapText="1"/>
    </xf>
    <xf numFmtId="166" fontId="16" fillId="12" borderId="8" xfId="0" applyNumberFormat="1" applyFont="1" applyFill="1" applyBorder="1" applyAlignment="1">
      <alignment horizontal="center" vertical="center" wrapText="1"/>
    </xf>
    <xf numFmtId="166" fontId="17" fillId="12" borderId="8" xfId="0" applyNumberFormat="1" applyFont="1" applyFill="1" applyBorder="1" applyAlignment="1">
      <alignment horizontal="center" vertical="center" wrapText="1"/>
    </xf>
    <xf numFmtId="1" fontId="17" fillId="17" borderId="5" xfId="0" applyNumberFormat="1" applyFont="1" applyFill="1" applyBorder="1" applyAlignment="1">
      <alignment horizontal="center" vertical="center" wrapText="1"/>
    </xf>
    <xf numFmtId="164" fontId="14" fillId="10" borderId="3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 wrapText="1"/>
    </xf>
    <xf numFmtId="1" fontId="16" fillId="12" borderId="1" xfId="0" applyNumberFormat="1" applyFont="1" applyFill="1" applyBorder="1" applyAlignment="1">
      <alignment horizontal="center" vertical="center" wrapText="1"/>
    </xf>
    <xf numFmtId="166" fontId="16" fillId="12" borderId="1" xfId="0" applyNumberFormat="1" applyFont="1" applyFill="1" applyBorder="1" applyAlignment="1">
      <alignment horizontal="center" vertical="center" wrapText="1"/>
    </xf>
    <xf numFmtId="166" fontId="17" fillId="12" borderId="1" xfId="0" applyNumberFormat="1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166" fontId="11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6" fontId="16" fillId="13" borderId="2" xfId="0" applyNumberFormat="1" applyFont="1" applyFill="1" applyBorder="1" applyAlignment="1">
      <alignment horizontal="center" vertical="center" wrapText="1"/>
    </xf>
    <xf numFmtId="166" fontId="17" fillId="13" borderId="2" xfId="0" applyNumberFormat="1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8" fillId="47" borderId="2" xfId="0" applyFont="1" applyFill="1" applyBorder="1" applyAlignment="1">
      <alignment horizontal="center" vertical="center"/>
    </xf>
    <xf numFmtId="166" fontId="16" fillId="23" borderId="2" xfId="0" applyNumberFormat="1" applyFont="1" applyFill="1" applyBorder="1" applyAlignment="1">
      <alignment horizontal="center" vertical="center" wrapText="1"/>
    </xf>
    <xf numFmtId="166" fontId="17" fillId="23" borderId="2" xfId="0" applyNumberFormat="1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left" vertical="center" wrapText="1"/>
    </xf>
    <xf numFmtId="164" fontId="25" fillId="10" borderId="2" xfId="0" applyNumberFormat="1" applyFont="1" applyFill="1" applyBorder="1" applyAlignment="1">
      <alignment horizontal="center" vertical="center"/>
    </xf>
    <xf numFmtId="1" fontId="28" fillId="11" borderId="2" xfId="0" applyNumberFormat="1" applyFont="1" applyFill="1" applyBorder="1" applyAlignment="1">
      <alignment horizontal="center" vertical="center" wrapText="1"/>
    </xf>
    <xf numFmtId="166" fontId="28" fillId="11" borderId="2" xfId="0" applyNumberFormat="1" applyFont="1" applyFill="1" applyBorder="1" applyAlignment="1">
      <alignment horizontal="center" vertical="center" wrapText="1"/>
    </xf>
    <xf numFmtId="49" fontId="28" fillId="12" borderId="2" xfId="0" applyNumberFormat="1" applyFont="1" applyFill="1" applyBorder="1" applyAlignment="1">
      <alignment horizontal="center" vertical="center" wrapText="1"/>
    </xf>
    <xf numFmtId="1" fontId="28" fillId="12" borderId="2" xfId="0" applyNumberFormat="1" applyFont="1" applyFill="1" applyBorder="1" applyAlignment="1">
      <alignment horizontal="center" vertical="center" wrapText="1"/>
    </xf>
    <xf numFmtId="166" fontId="28" fillId="12" borderId="2" xfId="0" applyNumberFormat="1" applyFont="1" applyFill="1" applyBorder="1" applyAlignment="1">
      <alignment horizontal="center" vertical="center" wrapText="1"/>
    </xf>
    <xf numFmtId="1" fontId="28" fillId="17" borderId="2" xfId="0" applyNumberFormat="1" applyFont="1" applyFill="1" applyBorder="1" applyAlignment="1">
      <alignment horizontal="center" vertical="center" wrapText="1"/>
    </xf>
    <xf numFmtId="164" fontId="28" fillId="17" borderId="2" xfId="0" applyNumberFormat="1" applyFont="1" applyFill="1" applyBorder="1" applyAlignment="1">
      <alignment horizontal="center" vertical="center" wrapText="1"/>
    </xf>
    <xf numFmtId="3" fontId="28" fillId="14" borderId="2" xfId="0" applyNumberFormat="1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166" fontId="28" fillId="14" borderId="2" xfId="0" applyNumberFormat="1" applyFont="1" applyFill="1" applyBorder="1" applyAlignment="1">
      <alignment horizontal="center" vertical="center" wrapText="1"/>
    </xf>
    <xf numFmtId="1" fontId="28" fillId="15" borderId="2" xfId="0" applyNumberFormat="1" applyFont="1" applyFill="1" applyBorder="1" applyAlignment="1">
      <alignment horizontal="center" vertical="center" wrapText="1"/>
    </xf>
    <xf numFmtId="14" fontId="7" fillId="18" borderId="2" xfId="0" applyNumberFormat="1" applyFont="1" applyFill="1" applyBorder="1" applyAlignment="1">
      <alignment horizontal="center" vertical="center"/>
    </xf>
    <xf numFmtId="164" fontId="14" fillId="50" borderId="2" xfId="0" applyNumberFormat="1" applyFont="1" applyFill="1" applyBorder="1" applyAlignment="1">
      <alignment horizontal="center" vertical="center"/>
    </xf>
    <xf numFmtId="0" fontId="14" fillId="57" borderId="2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left" vertical="center" wrapText="1"/>
    </xf>
    <xf numFmtId="166" fontId="16" fillId="3" borderId="2" xfId="0" applyNumberFormat="1" applyFont="1" applyFill="1" applyBorder="1" applyAlignment="1">
      <alignment horizontal="center" vertical="center" wrapText="1"/>
    </xf>
    <xf numFmtId="166" fontId="17" fillId="3" borderId="2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44" borderId="2" xfId="0" applyFont="1" applyFill="1" applyBorder="1" applyAlignment="1">
      <alignment horizontal="center" vertical="center"/>
    </xf>
    <xf numFmtId="0" fontId="1" fillId="16" borderId="0" xfId="0" applyFont="1" applyFill="1"/>
    <xf numFmtId="0" fontId="11" fillId="11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/>
    </xf>
    <xf numFmtId="0" fontId="18" fillId="28" borderId="2" xfId="0" applyFont="1" applyFill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8" fillId="58" borderId="2" xfId="0" applyFont="1" applyFill="1" applyBorder="1" applyAlignment="1">
      <alignment horizontal="center" vertical="center"/>
    </xf>
    <xf numFmtId="0" fontId="29" fillId="59" borderId="0" xfId="0" applyFont="1" applyFill="1"/>
    <xf numFmtId="0" fontId="1" fillId="5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1" fontId="31" fillId="4" borderId="12" xfId="0" applyNumberFormat="1" applyFont="1" applyFill="1" applyBorder="1" applyAlignment="1">
      <alignment horizontal="center"/>
    </xf>
    <xf numFmtId="1" fontId="32" fillId="5" borderId="0" xfId="0" applyNumberFormat="1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4" fillId="6" borderId="0" xfId="0" applyFont="1" applyFill="1" applyAlignment="1">
      <alignment horizontal="center"/>
    </xf>
    <xf numFmtId="0" fontId="31" fillId="7" borderId="0" xfId="0" applyFont="1" applyFill="1" applyAlignment="1">
      <alignment horizontal="center"/>
    </xf>
    <xf numFmtId="0" fontId="3" fillId="0" borderId="0" xfId="0" applyFont="1"/>
    <xf numFmtId="0" fontId="7" fillId="38" borderId="3" xfId="0" applyFont="1" applyFill="1" applyBorder="1" applyAlignment="1">
      <alignment horizontal="center" vertical="center"/>
    </xf>
    <xf numFmtId="2" fontId="7" fillId="38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49" fontId="8" fillId="9" borderId="3" xfId="0" applyNumberFormat="1" applyFont="1" applyFill="1" applyBorder="1" applyAlignment="1">
      <alignment horizontal="center" vertical="center" wrapText="1"/>
    </xf>
    <xf numFmtId="3" fontId="8" fillId="9" borderId="3" xfId="0" applyNumberFormat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810251-43A0-4B3B-8C87-F563C07B9523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qbsDpeAmZt9YCl2GWaRQ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6K9C8r4ygvS8xIqNEX_5sg_5FXoUc7mr&amp;usp=drive_copy" TargetMode="External"/><Relationship Id="rId1" Type="http://schemas.openxmlformats.org/officeDocument/2006/relationships/hyperlink" Target="https://drive.google.com/open?id=19KeM6D_yLmQTMYOE9GSP17Lczmkr82WD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D58C-25D0-45A9-A121-B02BA56A7788}">
  <sheetPr>
    <pageSetUpPr fitToPage="1"/>
  </sheetPr>
  <dimension ref="A1:AC265"/>
  <sheetViews>
    <sheetView tabSelected="1" zoomScale="48" zoomScaleNormal="48" workbookViewId="0">
      <pane xSplit="2" ySplit="3" topLeftCell="Z4" activePane="bottomRight" state="frozen"/>
      <selection pane="topRight" activeCell="C1" sqref="C1"/>
      <selection pane="bottomLeft" activeCell="A4" sqref="A4"/>
      <selection pane="bottomRight" activeCell="AA10" sqref="AA10"/>
    </sheetView>
  </sheetViews>
  <sheetFormatPr baseColWidth="10" defaultColWidth="14.44140625" defaultRowHeight="15" customHeight="1" x14ac:dyDescent="0.3"/>
  <cols>
    <col min="1" max="1" width="3.88671875" customWidth="1"/>
    <col min="2" max="2" width="14" customWidth="1"/>
    <col min="3" max="3" width="171.33203125" bestFit="1" customWidth="1"/>
    <col min="4" max="4" width="21.33203125" hidden="1" customWidth="1"/>
    <col min="5" max="5" width="17.6640625" hidden="1" customWidth="1"/>
    <col min="6" max="6" width="28.33203125" bestFit="1" customWidth="1"/>
    <col min="7" max="7" width="8.5546875" bestFit="1" customWidth="1"/>
    <col min="8" max="8" width="23.5546875" bestFit="1" customWidth="1"/>
    <col min="9" max="9" width="38.5546875" customWidth="1"/>
    <col min="10" max="10" width="36.109375" bestFit="1" customWidth="1"/>
    <col min="11" max="11" width="33" bestFit="1" customWidth="1"/>
    <col min="12" max="12" width="9" bestFit="1" customWidth="1"/>
    <col min="13" max="13" width="8.5546875" bestFit="1" customWidth="1"/>
    <col min="14" max="14" width="24.109375" bestFit="1" customWidth="1"/>
    <col min="15" max="15" width="31" customWidth="1"/>
    <col min="16" max="16" width="8.5546875" bestFit="1" customWidth="1"/>
    <col min="17" max="17" width="29.44140625" bestFit="1" customWidth="1"/>
    <col min="18" max="18" width="23.77734375" bestFit="1" customWidth="1"/>
    <col min="19" max="19" width="50.88671875" customWidth="1"/>
    <col min="20" max="20" width="8.5546875" bestFit="1" customWidth="1"/>
    <col min="21" max="21" width="15.88671875" bestFit="1" customWidth="1"/>
    <col min="22" max="22" width="24.109375" bestFit="1" customWidth="1"/>
    <col min="23" max="23" width="38.6640625" customWidth="1"/>
    <col min="24" max="24" width="11.44140625" bestFit="1" customWidth="1"/>
    <col min="25" max="25" width="7" bestFit="1" customWidth="1"/>
    <col min="26" max="26" width="32.33203125" style="311" customWidth="1"/>
    <col min="27" max="28" width="10.6640625" customWidth="1"/>
  </cols>
  <sheetData>
    <row r="1" spans="1:29" ht="14.4" x14ac:dyDescent="0.3">
      <c r="A1" s="1"/>
      <c r="D1" s="2"/>
      <c r="E1" s="2"/>
      <c r="F1" s="3"/>
      <c r="G1" s="3"/>
      <c r="H1" s="3"/>
      <c r="I1" s="3"/>
      <c r="K1" s="4"/>
      <c r="L1" s="5"/>
      <c r="M1" s="6"/>
      <c r="N1" s="6" t="s">
        <v>0</v>
      </c>
      <c r="O1" s="7"/>
      <c r="P1" s="8"/>
      <c r="Q1" s="8"/>
      <c r="R1" s="9"/>
      <c r="S1" s="9"/>
      <c r="T1" s="10"/>
      <c r="U1" s="11"/>
      <c r="V1" s="11"/>
      <c r="W1" s="11"/>
      <c r="X1" s="12"/>
      <c r="Y1" s="13"/>
      <c r="Z1" s="14"/>
    </row>
    <row r="2" spans="1:29" ht="69.75" customHeight="1" x14ac:dyDescent="0.3">
      <c r="B2" s="15" t="s">
        <v>1</v>
      </c>
      <c r="C2" s="16" t="s">
        <v>2</v>
      </c>
      <c r="D2" s="17" t="s">
        <v>3</v>
      </c>
      <c r="E2" s="17" t="s">
        <v>4</v>
      </c>
      <c r="F2" s="314" t="s">
        <v>5</v>
      </c>
      <c r="G2" s="315"/>
      <c r="H2" s="315"/>
      <c r="I2" s="316"/>
      <c r="J2" s="18" t="s">
        <v>6</v>
      </c>
      <c r="K2" s="317" t="s">
        <v>7</v>
      </c>
      <c r="L2" s="315"/>
      <c r="M2" s="315"/>
      <c r="N2" s="315"/>
      <c r="O2" s="316"/>
      <c r="P2" s="314" t="s">
        <v>8</v>
      </c>
      <c r="Q2" s="315"/>
      <c r="R2" s="315"/>
      <c r="S2" s="316"/>
      <c r="T2" s="318" t="s">
        <v>9</v>
      </c>
      <c r="U2" s="315"/>
      <c r="V2" s="315"/>
      <c r="W2" s="316"/>
      <c r="X2" s="319" t="s">
        <v>10</v>
      </c>
      <c r="Y2" s="315"/>
      <c r="Z2" s="19" t="s">
        <v>11</v>
      </c>
    </row>
    <row r="3" spans="1:29" ht="23.4" x14ac:dyDescent="0.3">
      <c r="B3" s="15"/>
      <c r="C3" s="15"/>
      <c r="D3" s="20"/>
      <c r="E3" s="20"/>
      <c r="F3" s="21" t="s">
        <v>12</v>
      </c>
      <c r="G3" s="21" t="s">
        <v>13</v>
      </c>
      <c r="H3" s="16" t="s">
        <v>14</v>
      </c>
      <c r="I3" s="16" t="s">
        <v>15</v>
      </c>
      <c r="J3" s="15"/>
      <c r="K3" s="22" t="s">
        <v>12</v>
      </c>
      <c r="L3" s="23" t="s">
        <v>16</v>
      </c>
      <c r="M3" s="16" t="s">
        <v>13</v>
      </c>
      <c r="N3" s="16" t="s">
        <v>14</v>
      </c>
      <c r="O3" s="16" t="s">
        <v>15</v>
      </c>
      <c r="P3" s="24" t="s">
        <v>13</v>
      </c>
      <c r="Q3" s="24" t="s">
        <v>17</v>
      </c>
      <c r="R3" s="25" t="s">
        <v>14</v>
      </c>
      <c r="S3" s="25" t="s">
        <v>15</v>
      </c>
      <c r="T3" s="26" t="s">
        <v>13</v>
      </c>
      <c r="U3" s="16" t="s">
        <v>18</v>
      </c>
      <c r="V3" s="15" t="s">
        <v>14</v>
      </c>
      <c r="W3" s="15" t="s">
        <v>15</v>
      </c>
      <c r="X3" s="15" t="s">
        <v>19</v>
      </c>
      <c r="Y3" s="27" t="s">
        <v>20</v>
      </c>
      <c r="Z3" s="28"/>
    </row>
    <row r="4" spans="1:29" ht="23.4" x14ac:dyDescent="0.3">
      <c r="B4" s="29" t="s">
        <v>21</v>
      </c>
      <c r="C4" s="30" t="s">
        <v>22</v>
      </c>
      <c r="D4" s="31">
        <v>-13.521695254539003</v>
      </c>
      <c r="E4" s="31">
        <v>-71.937214389033514</v>
      </c>
      <c r="F4" s="32"/>
      <c r="G4" s="32"/>
      <c r="H4" s="33"/>
      <c r="I4" s="33"/>
      <c r="J4" s="34"/>
      <c r="K4" s="35"/>
      <c r="L4" s="36"/>
      <c r="M4" s="37"/>
      <c r="N4" s="37"/>
      <c r="O4" s="38"/>
      <c r="P4" s="39"/>
      <c r="Q4" s="39"/>
      <c r="R4" s="39"/>
      <c r="S4" s="39"/>
      <c r="T4" s="40">
        <v>136</v>
      </c>
      <c r="U4" s="41"/>
      <c r="V4" s="42" t="s">
        <v>23</v>
      </c>
      <c r="W4" s="42" t="s">
        <v>24</v>
      </c>
      <c r="X4" s="43"/>
      <c r="Y4" s="44"/>
      <c r="Z4" s="45">
        <v>46171</v>
      </c>
    </row>
    <row r="5" spans="1:29" ht="23.4" x14ac:dyDescent="0.3">
      <c r="B5" s="46" t="s">
        <v>25</v>
      </c>
      <c r="C5" s="30" t="s">
        <v>26</v>
      </c>
      <c r="D5" s="47">
        <v>-13.525293864308585</v>
      </c>
      <c r="E5" s="47">
        <v>-71.938412330738984</v>
      </c>
      <c r="F5" s="48"/>
      <c r="G5" s="48"/>
      <c r="H5" s="49"/>
      <c r="I5" s="49"/>
      <c r="J5" s="50"/>
      <c r="K5" s="51"/>
      <c r="L5" s="52"/>
      <c r="M5" s="53"/>
      <c r="N5" s="53"/>
      <c r="O5" s="54"/>
      <c r="P5" s="55"/>
      <c r="Q5" s="55"/>
      <c r="R5" s="56"/>
      <c r="S5" s="56"/>
      <c r="T5" s="57"/>
      <c r="U5" s="41"/>
      <c r="V5" s="42"/>
      <c r="W5" s="42"/>
      <c r="X5" s="58">
        <v>1</v>
      </c>
      <c r="Y5" s="59">
        <v>50</v>
      </c>
      <c r="Z5" s="45">
        <v>46191</v>
      </c>
      <c r="AC5" s="60"/>
    </row>
    <row r="6" spans="1:29" ht="23.4" x14ac:dyDescent="0.3">
      <c r="B6" s="29" t="s">
        <v>27</v>
      </c>
      <c r="C6" s="30" t="s">
        <v>28</v>
      </c>
      <c r="D6" s="47">
        <v>-13.526726984752315</v>
      </c>
      <c r="E6" s="47">
        <v>-71.938660678969583</v>
      </c>
      <c r="F6" s="48"/>
      <c r="G6" s="48"/>
      <c r="H6" s="49"/>
      <c r="I6" s="49"/>
      <c r="J6" s="50"/>
      <c r="K6" s="51"/>
      <c r="L6" s="52"/>
      <c r="M6" s="53"/>
      <c r="N6" s="53"/>
      <c r="O6" s="54"/>
      <c r="P6" s="61"/>
      <c r="Q6" s="61"/>
      <c r="R6" s="62"/>
      <c r="S6" s="62"/>
      <c r="T6" s="57"/>
      <c r="U6" s="41"/>
      <c r="V6" s="42"/>
      <c r="W6" s="42"/>
      <c r="X6" s="58">
        <v>2</v>
      </c>
      <c r="Y6" s="59">
        <v>51</v>
      </c>
      <c r="Z6" s="63">
        <v>46191</v>
      </c>
    </row>
    <row r="7" spans="1:29" ht="23.4" x14ac:dyDescent="0.3">
      <c r="B7" s="64" t="s">
        <v>29</v>
      </c>
      <c r="C7" s="65" t="s">
        <v>30</v>
      </c>
      <c r="D7" s="66">
        <v>-13.527494675595623</v>
      </c>
      <c r="E7" s="66">
        <v>-71.938660869490946</v>
      </c>
      <c r="F7" s="48"/>
      <c r="G7" s="48"/>
      <c r="H7" s="49"/>
      <c r="I7" s="49"/>
      <c r="J7" s="50"/>
      <c r="K7" s="51"/>
      <c r="L7" s="52"/>
      <c r="M7" s="53"/>
      <c r="N7" s="53"/>
      <c r="O7" s="54"/>
      <c r="P7" s="61">
        <v>2</v>
      </c>
      <c r="Q7" s="55">
        <v>14004</v>
      </c>
      <c r="R7" s="62" t="s">
        <v>31</v>
      </c>
      <c r="S7" s="56" t="s">
        <v>32</v>
      </c>
      <c r="T7" s="67"/>
      <c r="U7" s="68"/>
      <c r="V7" s="42"/>
      <c r="W7" s="42"/>
      <c r="X7" s="69"/>
      <c r="Y7" s="70"/>
      <c r="Z7" s="45">
        <v>46190</v>
      </c>
    </row>
    <row r="8" spans="1:29" ht="23.4" x14ac:dyDescent="0.3">
      <c r="B8" s="29" t="s">
        <v>33</v>
      </c>
      <c r="C8" s="30" t="s">
        <v>34</v>
      </c>
      <c r="D8" s="71">
        <v>-13.5279209</v>
      </c>
      <c r="E8" s="71">
        <v>-71.940067799999994</v>
      </c>
      <c r="F8" s="72">
        <v>14552</v>
      </c>
      <c r="G8" s="72">
        <v>1</v>
      </c>
      <c r="H8" s="49" t="s">
        <v>35</v>
      </c>
      <c r="I8" s="49" t="s">
        <v>36</v>
      </c>
      <c r="J8" s="50">
        <v>2.5</v>
      </c>
      <c r="K8" s="51" t="s">
        <v>37</v>
      </c>
      <c r="L8" s="52">
        <v>1</v>
      </c>
      <c r="M8" s="73">
        <v>1</v>
      </c>
      <c r="N8" s="53" t="s">
        <v>38</v>
      </c>
      <c r="O8" s="54" t="s">
        <v>39</v>
      </c>
      <c r="P8" s="61"/>
      <c r="Q8" s="55"/>
      <c r="R8" s="62"/>
      <c r="S8" s="62"/>
      <c r="T8" s="57">
        <v>93</v>
      </c>
      <c r="U8" s="41"/>
      <c r="V8" s="42" t="s">
        <v>40</v>
      </c>
      <c r="W8" s="42" t="s">
        <v>41</v>
      </c>
      <c r="X8" s="69"/>
      <c r="Y8" s="70"/>
      <c r="Z8" s="45">
        <v>46153</v>
      </c>
    </row>
    <row r="9" spans="1:29" ht="23.4" x14ac:dyDescent="0.3">
      <c r="B9" s="64" t="s">
        <v>42</v>
      </c>
      <c r="C9" s="65" t="s">
        <v>43</v>
      </c>
      <c r="D9" s="66">
        <v>-13.527083999146322</v>
      </c>
      <c r="E9" s="66">
        <v>-71.939791189168147</v>
      </c>
      <c r="F9" s="48"/>
      <c r="G9" s="48"/>
      <c r="H9" s="49"/>
      <c r="I9" s="49"/>
      <c r="J9" s="50"/>
      <c r="K9" s="51" t="s">
        <v>44</v>
      </c>
      <c r="L9" s="52">
        <v>2</v>
      </c>
      <c r="M9" s="73">
        <v>2</v>
      </c>
      <c r="N9" s="53" t="s">
        <v>45</v>
      </c>
      <c r="O9" s="54" t="s">
        <v>46</v>
      </c>
      <c r="P9" s="61">
        <v>3</v>
      </c>
      <c r="Q9" s="55">
        <v>14005</v>
      </c>
      <c r="R9" s="62" t="s">
        <v>47</v>
      </c>
      <c r="S9" s="56" t="s">
        <v>48</v>
      </c>
      <c r="T9" s="67"/>
      <c r="U9" s="68"/>
      <c r="V9" s="42"/>
      <c r="W9" s="42"/>
      <c r="X9" s="69"/>
      <c r="Y9" s="70"/>
      <c r="Z9" s="74">
        <v>46190</v>
      </c>
    </row>
    <row r="10" spans="1:29" ht="23.4" x14ac:dyDescent="0.3">
      <c r="B10" s="29" t="s">
        <v>49</v>
      </c>
      <c r="C10" s="30" t="s">
        <v>50</v>
      </c>
      <c r="D10" s="47">
        <v>-13.525805943905151</v>
      </c>
      <c r="E10" s="47">
        <v>-71.940181642150705</v>
      </c>
      <c r="F10" s="72">
        <v>14553</v>
      </c>
      <c r="G10" s="72">
        <v>2</v>
      </c>
      <c r="H10" s="49" t="s">
        <v>51</v>
      </c>
      <c r="I10" s="49" t="s">
        <v>52</v>
      </c>
      <c r="J10" s="50">
        <v>2</v>
      </c>
      <c r="K10" s="51"/>
      <c r="L10" s="52"/>
      <c r="M10" s="53"/>
      <c r="N10" s="53"/>
      <c r="O10" s="54"/>
      <c r="P10" s="61">
        <v>4</v>
      </c>
      <c r="Q10" s="55">
        <v>14006</v>
      </c>
      <c r="R10" s="62" t="s">
        <v>53</v>
      </c>
      <c r="S10" s="56" t="s">
        <v>54</v>
      </c>
      <c r="T10" s="67"/>
      <c r="U10" s="68"/>
      <c r="V10" s="42"/>
      <c r="W10" s="42"/>
      <c r="X10" s="69"/>
      <c r="Y10" s="70"/>
      <c r="Z10" s="45">
        <v>46191</v>
      </c>
    </row>
    <row r="11" spans="1:29" ht="23.4" x14ac:dyDescent="0.3">
      <c r="B11" s="64" t="s">
        <v>55</v>
      </c>
      <c r="C11" s="65" t="s">
        <v>56</v>
      </c>
      <c r="D11" s="66">
        <v>-13.523744249378778</v>
      </c>
      <c r="E11" s="66">
        <v>-71.941928573765921</v>
      </c>
      <c r="F11" s="72"/>
      <c r="G11" s="72"/>
      <c r="H11" s="49"/>
      <c r="I11" s="49"/>
      <c r="J11" s="50"/>
      <c r="K11" s="51"/>
      <c r="L11" s="52"/>
      <c r="M11" s="53"/>
      <c r="N11" s="53"/>
      <c r="O11" s="54"/>
      <c r="P11" s="61"/>
      <c r="Q11" s="55"/>
      <c r="R11" s="62"/>
      <c r="S11" s="56"/>
      <c r="T11" s="67">
        <v>94</v>
      </c>
      <c r="U11" s="68"/>
      <c r="V11" s="42" t="s">
        <v>57</v>
      </c>
      <c r="W11" s="42" t="s">
        <v>58</v>
      </c>
      <c r="X11" s="69"/>
      <c r="Y11" s="70"/>
      <c r="Z11" s="45">
        <v>46191</v>
      </c>
    </row>
    <row r="12" spans="1:29" ht="23.4" x14ac:dyDescent="0.3">
      <c r="B12" s="75" t="s">
        <v>59</v>
      </c>
      <c r="C12" s="65" t="s">
        <v>60</v>
      </c>
      <c r="D12" s="66">
        <v>-13.523221416090072</v>
      </c>
      <c r="E12" s="66">
        <v>-71.944146675660036</v>
      </c>
      <c r="F12" s="72">
        <v>14554</v>
      </c>
      <c r="G12" s="72">
        <v>3</v>
      </c>
      <c r="H12" s="49" t="s">
        <v>61</v>
      </c>
      <c r="I12" s="49" t="s">
        <v>62</v>
      </c>
      <c r="J12" s="50">
        <v>2</v>
      </c>
      <c r="K12" s="51"/>
      <c r="L12" s="52"/>
      <c r="M12" s="53"/>
      <c r="N12" s="53"/>
      <c r="O12" s="54"/>
      <c r="P12" s="61"/>
      <c r="Q12" s="55"/>
      <c r="R12" s="62"/>
      <c r="S12" s="62"/>
      <c r="T12" s="57">
        <v>95</v>
      </c>
      <c r="U12" s="41"/>
      <c r="V12" s="42" t="s">
        <v>63</v>
      </c>
      <c r="W12" s="42" t="s">
        <v>64</v>
      </c>
      <c r="X12" s="69"/>
      <c r="Y12" s="70"/>
      <c r="Z12" s="74">
        <v>46192</v>
      </c>
    </row>
    <row r="13" spans="1:29" ht="23.4" x14ac:dyDescent="0.3">
      <c r="B13" s="46" t="s">
        <v>65</v>
      </c>
      <c r="C13" s="77" t="s">
        <v>66</v>
      </c>
      <c r="D13" s="78">
        <v>-13.522191722094652</v>
      </c>
      <c r="E13" s="78">
        <v>-71.943386362201821</v>
      </c>
      <c r="F13" s="79"/>
      <c r="G13" s="79"/>
      <c r="H13" s="80"/>
      <c r="I13" s="80"/>
      <c r="J13" s="81"/>
      <c r="K13" s="82"/>
      <c r="L13" s="83"/>
      <c r="M13" s="84"/>
      <c r="N13" s="84"/>
      <c r="O13" s="85"/>
      <c r="P13" s="86"/>
      <c r="Q13" s="86"/>
      <c r="R13" s="87"/>
      <c r="S13" s="87"/>
      <c r="T13" s="88"/>
      <c r="U13" s="89"/>
      <c r="V13" s="90"/>
      <c r="W13" s="90"/>
      <c r="X13" s="91">
        <v>3</v>
      </c>
      <c r="Y13" s="92">
        <v>52</v>
      </c>
      <c r="Z13" s="74">
        <v>46226</v>
      </c>
    </row>
    <row r="14" spans="1:29" ht="23.4" x14ac:dyDescent="0.3">
      <c r="B14" s="29" t="s">
        <v>67</v>
      </c>
      <c r="C14" s="77" t="s">
        <v>68</v>
      </c>
      <c r="D14" s="78">
        <v>-13.521583798790374</v>
      </c>
      <c r="E14" s="78">
        <v>-71.941320529291175</v>
      </c>
      <c r="F14" s="79"/>
      <c r="G14" s="79"/>
      <c r="H14" s="80"/>
      <c r="I14" s="80" t="s">
        <v>69</v>
      </c>
      <c r="J14" s="81"/>
      <c r="K14" s="82"/>
      <c r="L14" s="83"/>
      <c r="M14" s="84"/>
      <c r="N14" s="84"/>
      <c r="O14" s="85"/>
      <c r="P14" s="86"/>
      <c r="Q14" s="86"/>
      <c r="R14" s="87"/>
      <c r="S14" s="87"/>
      <c r="T14" s="88"/>
      <c r="U14" s="89"/>
      <c r="V14" s="90"/>
      <c r="W14" s="90"/>
      <c r="X14" s="91">
        <v>4</v>
      </c>
      <c r="Y14" s="92">
        <v>53</v>
      </c>
      <c r="Z14" s="74">
        <v>46225</v>
      </c>
    </row>
    <row r="15" spans="1:29" ht="23.4" x14ac:dyDescent="0.3">
      <c r="B15" s="64" t="s">
        <v>70</v>
      </c>
      <c r="C15" s="93" t="s">
        <v>71</v>
      </c>
      <c r="D15" s="66">
        <v>-13.522621229384823</v>
      </c>
      <c r="E15" s="66">
        <v>-71.942191692075269</v>
      </c>
      <c r="F15" s="79"/>
      <c r="G15" s="79"/>
      <c r="H15" s="80"/>
      <c r="I15" s="80"/>
      <c r="J15" s="81"/>
      <c r="K15" s="82"/>
      <c r="L15" s="83"/>
      <c r="M15" s="84"/>
      <c r="N15" s="84"/>
      <c r="O15" s="85"/>
      <c r="P15" s="86"/>
      <c r="Q15" s="86"/>
      <c r="R15" s="87"/>
      <c r="S15" s="87"/>
      <c r="T15" s="88"/>
      <c r="U15" s="89"/>
      <c r="V15" s="90"/>
      <c r="W15" s="90"/>
      <c r="X15" s="91">
        <v>5</v>
      </c>
      <c r="Y15" s="92">
        <v>54</v>
      </c>
      <c r="Z15" s="63">
        <v>46191</v>
      </c>
    </row>
    <row r="16" spans="1:29" ht="23.4" x14ac:dyDescent="0.3">
      <c r="B16" s="29" t="s">
        <v>72</v>
      </c>
      <c r="C16" s="77" t="s">
        <v>73</v>
      </c>
      <c r="D16" s="78">
        <v>-13.520817046736276</v>
      </c>
      <c r="E16" s="78">
        <v>-71.943544847890664</v>
      </c>
      <c r="F16" s="79"/>
      <c r="G16" s="79"/>
      <c r="H16" s="80"/>
      <c r="I16" s="80"/>
      <c r="J16" s="81"/>
      <c r="K16" s="82"/>
      <c r="L16" s="83"/>
      <c r="M16" s="84"/>
      <c r="N16" s="84"/>
      <c r="O16" s="85"/>
      <c r="P16" s="86"/>
      <c r="Q16" s="86"/>
      <c r="R16" s="87"/>
      <c r="S16" s="87"/>
      <c r="T16" s="88"/>
      <c r="U16" s="89"/>
      <c r="V16" s="90"/>
      <c r="W16" s="90"/>
      <c r="X16" s="91">
        <v>6</v>
      </c>
      <c r="Y16" s="92">
        <v>55</v>
      </c>
      <c r="Z16" s="74">
        <v>46226</v>
      </c>
    </row>
    <row r="17" spans="1:26" ht="23.4" x14ac:dyDescent="0.3">
      <c r="B17" s="46" t="s">
        <v>74</v>
      </c>
      <c r="C17" s="77" t="s">
        <v>75</v>
      </c>
      <c r="D17" s="78">
        <v>-13.52179776026667</v>
      </c>
      <c r="E17" s="78">
        <v>-71.940021676933981</v>
      </c>
      <c r="F17" s="79"/>
      <c r="G17" s="79"/>
      <c r="H17" s="94"/>
      <c r="I17" s="94"/>
      <c r="J17" s="81"/>
      <c r="K17" s="82"/>
      <c r="L17" s="83"/>
      <c r="M17" s="84"/>
      <c r="N17" s="84"/>
      <c r="O17" s="85"/>
      <c r="P17" s="86">
        <v>5</v>
      </c>
      <c r="Q17" s="86">
        <v>14007</v>
      </c>
      <c r="R17" s="87" t="s">
        <v>76</v>
      </c>
      <c r="S17" s="95" t="s">
        <v>77</v>
      </c>
      <c r="T17" s="96"/>
      <c r="U17" s="97"/>
      <c r="V17" s="90"/>
      <c r="W17" s="90"/>
      <c r="X17" s="98"/>
      <c r="Y17" s="99"/>
      <c r="Z17" s="74">
        <v>46225</v>
      </c>
    </row>
    <row r="18" spans="1:26" ht="23.4" x14ac:dyDescent="0.3">
      <c r="B18" s="29" t="s">
        <v>78</v>
      </c>
      <c r="C18" s="30" t="s">
        <v>79</v>
      </c>
      <c r="D18" s="47">
        <v>-13.523247391600426</v>
      </c>
      <c r="E18" s="47">
        <v>-71.939633330677239</v>
      </c>
      <c r="F18" s="72"/>
      <c r="G18" s="72"/>
      <c r="H18" s="100"/>
      <c r="I18" s="100"/>
      <c r="J18" s="50"/>
      <c r="K18" s="51"/>
      <c r="L18" s="52"/>
      <c r="M18" s="53"/>
      <c r="N18" s="53"/>
      <c r="O18" s="54"/>
      <c r="P18" s="61"/>
      <c r="Q18" s="61"/>
      <c r="R18" s="62"/>
      <c r="S18" s="62"/>
      <c r="T18" s="57">
        <v>96</v>
      </c>
      <c r="U18" s="41"/>
      <c r="V18" s="42" t="s">
        <v>80</v>
      </c>
      <c r="W18" s="42" t="s">
        <v>81</v>
      </c>
      <c r="X18" s="69"/>
      <c r="Y18" s="70"/>
      <c r="Z18" s="74">
        <v>46191</v>
      </c>
    </row>
    <row r="19" spans="1:26" ht="23.4" x14ac:dyDescent="0.3">
      <c r="B19" s="46" t="s">
        <v>82</v>
      </c>
      <c r="C19" s="30" t="s">
        <v>83</v>
      </c>
      <c r="D19" s="47">
        <v>-13.530046</v>
      </c>
      <c r="E19" s="47">
        <v>-71.932569999999998</v>
      </c>
      <c r="F19" s="72"/>
      <c r="G19" s="72"/>
      <c r="H19" s="49"/>
      <c r="I19" s="49"/>
      <c r="J19" s="50"/>
      <c r="K19" s="51" t="s">
        <v>84</v>
      </c>
      <c r="L19" s="52">
        <v>3</v>
      </c>
      <c r="M19" s="73">
        <v>3</v>
      </c>
      <c r="N19" s="53" t="s">
        <v>85</v>
      </c>
      <c r="O19" s="54" t="s">
        <v>86</v>
      </c>
      <c r="P19" s="61"/>
      <c r="Q19" s="61"/>
      <c r="R19" s="62"/>
      <c r="S19" s="62"/>
      <c r="T19" s="57">
        <v>97</v>
      </c>
      <c r="U19" s="41"/>
      <c r="V19" s="42" t="s">
        <v>87</v>
      </c>
      <c r="W19" s="42" t="s">
        <v>88</v>
      </c>
      <c r="X19" s="69"/>
      <c r="Y19" s="70"/>
      <c r="Z19" s="101">
        <v>46183</v>
      </c>
    </row>
    <row r="20" spans="1:26" ht="23.4" x14ac:dyDescent="0.3">
      <c r="A20" s="102" t="s">
        <v>69</v>
      </c>
      <c r="B20" s="103" t="s">
        <v>89</v>
      </c>
      <c r="C20" s="30" t="s">
        <v>90</v>
      </c>
      <c r="D20" s="47">
        <v>-13.529055</v>
      </c>
      <c r="E20" s="47">
        <v>-71.936085000000006</v>
      </c>
      <c r="F20" s="72">
        <v>14555</v>
      </c>
      <c r="G20" s="72">
        <v>4</v>
      </c>
      <c r="H20" s="49" t="s">
        <v>91</v>
      </c>
      <c r="I20" s="49" t="s">
        <v>92</v>
      </c>
      <c r="J20" s="50">
        <v>2.5</v>
      </c>
      <c r="K20" s="51"/>
      <c r="L20" s="52"/>
      <c r="M20" s="53"/>
      <c r="N20" s="53"/>
      <c r="O20" s="54"/>
      <c r="P20" s="61"/>
      <c r="Q20" s="61"/>
      <c r="R20" s="62"/>
      <c r="S20" s="62"/>
      <c r="T20" s="57"/>
      <c r="U20" s="41"/>
      <c r="V20" s="42"/>
      <c r="W20" s="42"/>
      <c r="X20" s="58">
        <v>7</v>
      </c>
      <c r="Y20" s="59">
        <v>56</v>
      </c>
      <c r="Z20" s="101">
        <v>46172</v>
      </c>
    </row>
    <row r="21" spans="1:26" ht="23.4" x14ac:dyDescent="0.3">
      <c r="B21" s="64" t="s">
        <v>93</v>
      </c>
      <c r="C21" s="65" t="s">
        <v>94</v>
      </c>
      <c r="D21" s="66">
        <v>-13.52708740919968</v>
      </c>
      <c r="E21" s="66">
        <v>-71.935655932642945</v>
      </c>
      <c r="F21" s="72"/>
      <c r="G21" s="72"/>
      <c r="H21" s="49"/>
      <c r="I21" s="49"/>
      <c r="J21" s="50"/>
      <c r="K21" s="51"/>
      <c r="L21" s="52"/>
      <c r="M21" s="53"/>
      <c r="N21" s="53"/>
      <c r="O21" s="54"/>
      <c r="P21" s="61">
        <v>6</v>
      </c>
      <c r="Q21" s="61">
        <v>14008</v>
      </c>
      <c r="R21" s="62" t="s">
        <v>95</v>
      </c>
      <c r="S21" s="56" t="s">
        <v>96</v>
      </c>
      <c r="T21" s="67"/>
      <c r="U21" s="68"/>
      <c r="V21" s="42"/>
      <c r="W21" s="42"/>
      <c r="X21" s="69"/>
      <c r="Y21" s="70"/>
      <c r="Z21" s="74">
        <v>46190</v>
      </c>
    </row>
    <row r="22" spans="1:26" ht="23.4" x14ac:dyDescent="0.3">
      <c r="B22" s="75" t="s">
        <v>97</v>
      </c>
      <c r="C22" s="65" t="s">
        <v>98</v>
      </c>
      <c r="D22" s="66">
        <v>-13.527523427055083</v>
      </c>
      <c r="E22" s="66">
        <v>-71.934673602506606</v>
      </c>
      <c r="F22" s="72"/>
      <c r="G22" s="72"/>
      <c r="H22" s="49"/>
      <c r="I22" s="49"/>
      <c r="J22" s="50"/>
      <c r="K22" s="51" t="s">
        <v>99</v>
      </c>
      <c r="L22" s="52">
        <v>4</v>
      </c>
      <c r="M22" s="73">
        <v>4</v>
      </c>
      <c r="N22" s="53" t="s">
        <v>100</v>
      </c>
      <c r="O22" s="54" t="s">
        <v>101</v>
      </c>
      <c r="P22" s="61"/>
      <c r="Q22" s="61"/>
      <c r="R22" s="62"/>
      <c r="S22" s="62"/>
      <c r="T22" s="57"/>
      <c r="U22" s="41"/>
      <c r="V22" s="42"/>
      <c r="W22" s="42"/>
      <c r="X22" s="58">
        <v>8</v>
      </c>
      <c r="Y22" s="59">
        <v>57</v>
      </c>
      <c r="Z22" s="63">
        <v>46190</v>
      </c>
    </row>
    <row r="23" spans="1:26" ht="23.4" x14ac:dyDescent="0.3">
      <c r="B23" s="64" t="s">
        <v>102</v>
      </c>
      <c r="C23" s="65" t="s">
        <v>103</v>
      </c>
      <c r="D23" s="66">
        <v>-13.527957663693645</v>
      </c>
      <c r="E23" s="66">
        <v>-71.933072793295764</v>
      </c>
      <c r="F23" s="72"/>
      <c r="G23" s="72"/>
      <c r="H23" s="49"/>
      <c r="I23" s="49"/>
      <c r="J23" s="50"/>
      <c r="K23" s="51"/>
      <c r="L23" s="52"/>
      <c r="M23" s="53"/>
      <c r="N23" s="53"/>
      <c r="O23" s="54"/>
      <c r="P23" s="61"/>
      <c r="Q23" s="61"/>
      <c r="R23" s="62"/>
      <c r="S23" s="62"/>
      <c r="T23" s="57"/>
      <c r="U23" s="41"/>
      <c r="V23" s="42"/>
      <c r="W23" s="42"/>
      <c r="X23" s="58">
        <v>9</v>
      </c>
      <c r="Y23" s="59">
        <v>58</v>
      </c>
      <c r="Z23" s="74">
        <v>46189</v>
      </c>
    </row>
    <row r="24" spans="1:26" ht="23.4" x14ac:dyDescent="0.3">
      <c r="B24" s="46" t="s">
        <v>104</v>
      </c>
      <c r="C24" s="65" t="s">
        <v>105</v>
      </c>
      <c r="D24" s="66">
        <v>-13.519842000000001</v>
      </c>
      <c r="E24" s="66">
        <v>-71.934472999999997</v>
      </c>
      <c r="F24" s="72"/>
      <c r="G24" s="72"/>
      <c r="H24" s="49"/>
      <c r="I24" s="49"/>
      <c r="J24" s="50"/>
      <c r="K24" s="51"/>
      <c r="L24" s="52"/>
      <c r="M24" s="53"/>
      <c r="N24" s="53"/>
      <c r="O24" s="54"/>
      <c r="P24" s="61"/>
      <c r="Q24" s="61"/>
      <c r="R24" s="62"/>
      <c r="S24" s="62"/>
      <c r="T24" s="57"/>
      <c r="U24" s="41"/>
      <c r="V24" s="42"/>
      <c r="W24" s="42"/>
      <c r="X24" s="58">
        <v>10</v>
      </c>
      <c r="Y24" s="59">
        <v>59</v>
      </c>
      <c r="Z24" s="74">
        <v>46237</v>
      </c>
    </row>
    <row r="25" spans="1:26" ht="23.4" x14ac:dyDescent="0.3">
      <c r="B25" s="46" t="s">
        <v>106</v>
      </c>
      <c r="C25" s="30" t="s">
        <v>107</v>
      </c>
      <c r="D25" s="47">
        <v>-13.524609371474806</v>
      </c>
      <c r="E25" s="47">
        <v>-71.933631767633472</v>
      </c>
      <c r="F25" s="72"/>
      <c r="G25" s="72"/>
      <c r="H25" s="49"/>
      <c r="I25" s="49"/>
      <c r="J25" s="50"/>
      <c r="K25" s="51"/>
      <c r="L25" s="52"/>
      <c r="M25" s="53"/>
      <c r="N25" s="53"/>
      <c r="O25" s="54"/>
      <c r="P25" s="61"/>
      <c r="Q25" s="61"/>
      <c r="R25" s="62"/>
      <c r="S25" s="62"/>
      <c r="T25" s="57"/>
      <c r="U25" s="41"/>
      <c r="V25" s="42"/>
      <c r="W25" s="42"/>
      <c r="X25" s="58">
        <v>11</v>
      </c>
      <c r="Y25" s="59">
        <v>60</v>
      </c>
      <c r="Z25" s="74">
        <v>46191</v>
      </c>
    </row>
    <row r="26" spans="1:26" ht="23.4" x14ac:dyDescent="0.3">
      <c r="B26" s="75" t="s">
        <v>108</v>
      </c>
      <c r="C26" s="65" t="s">
        <v>109</v>
      </c>
      <c r="D26" s="66">
        <v>-13.525062212608001</v>
      </c>
      <c r="E26" s="66">
        <v>-71.936613629090601</v>
      </c>
      <c r="F26" s="72"/>
      <c r="G26" s="72"/>
      <c r="H26" s="49"/>
      <c r="I26" s="49"/>
      <c r="J26" s="50"/>
      <c r="K26" s="51"/>
      <c r="L26" s="52"/>
      <c r="M26" s="53"/>
      <c r="N26" s="53"/>
      <c r="O26" s="54"/>
      <c r="P26" s="61"/>
      <c r="Q26" s="61"/>
      <c r="R26" s="62"/>
      <c r="S26" s="62"/>
      <c r="T26" s="57"/>
      <c r="U26" s="41"/>
      <c r="V26" s="42"/>
      <c r="W26" s="42"/>
      <c r="X26" s="58">
        <v>12</v>
      </c>
      <c r="Y26" s="59">
        <v>61</v>
      </c>
      <c r="Z26" s="74">
        <v>46191</v>
      </c>
    </row>
    <row r="27" spans="1:26" ht="23.4" x14ac:dyDescent="0.3">
      <c r="B27" s="64" t="s">
        <v>110</v>
      </c>
      <c r="C27" s="65" t="s">
        <v>111</v>
      </c>
      <c r="D27" s="66">
        <v>-13.528522420436943</v>
      </c>
      <c r="E27" s="66">
        <v>-71.932664331318293</v>
      </c>
      <c r="F27" s="72"/>
      <c r="G27" s="72"/>
      <c r="H27" s="100"/>
      <c r="I27" s="100"/>
      <c r="J27" s="50"/>
      <c r="K27" s="51"/>
      <c r="L27" s="52"/>
      <c r="M27" s="53"/>
      <c r="N27" s="53"/>
      <c r="O27" s="54"/>
      <c r="P27" s="61"/>
      <c r="Q27" s="61"/>
      <c r="R27" s="62"/>
      <c r="S27" s="62"/>
      <c r="T27" s="57"/>
      <c r="U27" s="41"/>
      <c r="V27" s="42"/>
      <c r="W27" s="42"/>
      <c r="X27" s="58">
        <v>13</v>
      </c>
      <c r="Y27" s="59">
        <v>62</v>
      </c>
      <c r="Z27" s="74">
        <v>46212</v>
      </c>
    </row>
    <row r="28" spans="1:26" ht="23.4" x14ac:dyDescent="0.3">
      <c r="B28" s="75" t="s">
        <v>112</v>
      </c>
      <c r="C28" s="65" t="s">
        <v>113</v>
      </c>
      <c r="D28" s="66">
        <v>-13.527638603750299</v>
      </c>
      <c r="E28" s="66">
        <v>-71.936994082793007</v>
      </c>
      <c r="F28" s="72"/>
      <c r="G28" s="72"/>
      <c r="H28" s="100"/>
      <c r="I28" s="100"/>
      <c r="J28" s="50"/>
      <c r="K28" s="51"/>
      <c r="L28" s="52"/>
      <c r="M28" s="53"/>
      <c r="N28" s="53"/>
      <c r="O28" s="54"/>
      <c r="P28" s="61"/>
      <c r="Q28" s="61"/>
      <c r="R28" s="62"/>
      <c r="S28" s="62"/>
      <c r="T28" s="57"/>
      <c r="U28" s="41"/>
      <c r="V28" s="42"/>
      <c r="W28" s="42"/>
      <c r="X28" s="58">
        <v>14</v>
      </c>
      <c r="Y28" s="59">
        <v>63</v>
      </c>
      <c r="Z28" s="74">
        <v>46190</v>
      </c>
    </row>
    <row r="29" spans="1:26" ht="23.4" x14ac:dyDescent="0.3">
      <c r="B29" s="46" t="s">
        <v>114</v>
      </c>
      <c r="C29" s="30" t="s">
        <v>115</v>
      </c>
      <c r="D29" s="47">
        <v>-13.5270100749518</v>
      </c>
      <c r="E29" s="47">
        <v>-71.936883950390296</v>
      </c>
      <c r="F29" s="72"/>
      <c r="G29" s="72"/>
      <c r="H29" s="100"/>
      <c r="I29" s="100"/>
      <c r="J29" s="50"/>
      <c r="K29" s="51"/>
      <c r="L29" s="52"/>
      <c r="M29" s="104"/>
      <c r="N29" s="104"/>
      <c r="O29" s="105"/>
      <c r="P29" s="61">
        <v>7</v>
      </c>
      <c r="Q29" s="61">
        <v>14009</v>
      </c>
      <c r="R29" s="62" t="s">
        <v>116</v>
      </c>
      <c r="S29" s="56" t="s">
        <v>117</v>
      </c>
      <c r="T29" s="67"/>
      <c r="U29" s="68"/>
      <c r="V29" s="42"/>
      <c r="W29" s="42"/>
      <c r="X29" s="69"/>
      <c r="Y29" s="70"/>
      <c r="Z29" s="74">
        <v>46190</v>
      </c>
    </row>
    <row r="30" spans="1:26" ht="23.4" x14ac:dyDescent="0.3">
      <c r="B30" s="29" t="s">
        <v>118</v>
      </c>
      <c r="C30" s="30" t="s">
        <v>119</v>
      </c>
      <c r="D30" s="47">
        <v>-13.529787000000001</v>
      </c>
      <c r="E30" s="47">
        <v>-71.934600000000003</v>
      </c>
      <c r="F30" s="72">
        <v>14556</v>
      </c>
      <c r="G30" s="72">
        <v>5</v>
      </c>
      <c r="H30" s="49" t="s">
        <v>120</v>
      </c>
      <c r="I30" s="49" t="s">
        <v>121</v>
      </c>
      <c r="J30" s="50">
        <v>2.5</v>
      </c>
      <c r="K30" s="51" t="s">
        <v>122</v>
      </c>
      <c r="L30" s="52">
        <v>5</v>
      </c>
      <c r="M30" s="73">
        <v>5</v>
      </c>
      <c r="N30" s="53" t="s">
        <v>123</v>
      </c>
      <c r="O30" s="54" t="s">
        <v>124</v>
      </c>
      <c r="P30" s="61"/>
      <c r="Q30" s="61"/>
      <c r="R30" s="62"/>
      <c r="S30" s="62"/>
      <c r="T30" s="57"/>
      <c r="U30" s="41"/>
      <c r="V30" s="42"/>
      <c r="W30" s="42"/>
      <c r="X30" s="58">
        <v>15</v>
      </c>
      <c r="Y30" s="59">
        <v>64</v>
      </c>
      <c r="Z30" s="74">
        <v>46158</v>
      </c>
    </row>
    <row r="31" spans="1:26" ht="23.4" x14ac:dyDescent="0.3">
      <c r="B31" s="46" t="s">
        <v>125</v>
      </c>
      <c r="C31" s="30" t="s">
        <v>126</v>
      </c>
      <c r="D31" s="47">
        <v>-13.528646739999999</v>
      </c>
      <c r="E31" s="47">
        <v>-71.938231939999994</v>
      </c>
      <c r="F31" s="72">
        <v>14557</v>
      </c>
      <c r="G31" s="72">
        <v>6</v>
      </c>
      <c r="H31" s="49" t="s">
        <v>127</v>
      </c>
      <c r="I31" s="49" t="s">
        <v>128</v>
      </c>
      <c r="J31" s="50">
        <v>2</v>
      </c>
      <c r="K31" s="51" t="s">
        <v>129</v>
      </c>
      <c r="L31" s="52">
        <v>6</v>
      </c>
      <c r="M31" s="73">
        <v>6</v>
      </c>
      <c r="N31" s="53" t="s">
        <v>130</v>
      </c>
      <c r="O31" s="54" t="s">
        <v>131</v>
      </c>
      <c r="P31" s="61"/>
      <c r="Q31" s="61"/>
      <c r="R31" s="62"/>
      <c r="S31" s="62"/>
      <c r="T31" s="57">
        <v>98</v>
      </c>
      <c r="U31" s="41"/>
      <c r="V31" s="42" t="s">
        <v>132</v>
      </c>
      <c r="W31" s="42" t="s">
        <v>133</v>
      </c>
      <c r="X31" s="69"/>
      <c r="Y31" s="70"/>
      <c r="Z31" s="74">
        <v>46154</v>
      </c>
    </row>
    <row r="32" spans="1:26" ht="23.4" x14ac:dyDescent="0.3">
      <c r="B32" s="29" t="s">
        <v>134</v>
      </c>
      <c r="C32" s="30" t="s">
        <v>135</v>
      </c>
      <c r="D32" s="47">
        <v>-13.5249172098759</v>
      </c>
      <c r="E32" s="47">
        <v>-71.93433705782229</v>
      </c>
      <c r="F32" s="72"/>
      <c r="G32" s="72"/>
      <c r="H32" s="49"/>
      <c r="I32" s="49"/>
      <c r="J32" s="50"/>
      <c r="K32" s="51"/>
      <c r="L32" s="52"/>
      <c r="M32" s="73"/>
      <c r="N32" s="53"/>
      <c r="O32" s="54"/>
      <c r="P32" s="61"/>
      <c r="Q32" s="61"/>
      <c r="R32" s="62"/>
      <c r="S32" s="62"/>
      <c r="T32" s="57"/>
      <c r="U32" s="41"/>
      <c r="V32" s="42"/>
      <c r="W32" s="42"/>
      <c r="X32" s="58">
        <v>16</v>
      </c>
      <c r="Y32" s="59">
        <v>65</v>
      </c>
      <c r="Z32" s="74">
        <v>46155</v>
      </c>
    </row>
    <row r="33" spans="1:26" ht="23.4" x14ac:dyDescent="0.3">
      <c r="B33" s="46" t="s">
        <v>136</v>
      </c>
      <c r="C33" s="30" t="s">
        <v>137</v>
      </c>
      <c r="D33" s="47">
        <v>-13.529396232545992</v>
      </c>
      <c r="E33" s="47">
        <v>-71.940548799584505</v>
      </c>
      <c r="F33" s="72"/>
      <c r="G33" s="72"/>
      <c r="H33" s="106"/>
      <c r="I33" s="106"/>
      <c r="J33" s="107"/>
      <c r="K33" s="108"/>
      <c r="L33" s="109"/>
      <c r="M33" s="110"/>
      <c r="N33" s="111"/>
      <c r="O33" s="112"/>
      <c r="P33" s="113"/>
      <c r="Q33" s="61"/>
      <c r="R33" s="62"/>
      <c r="S33" s="62"/>
      <c r="T33" s="57">
        <v>99</v>
      </c>
      <c r="U33" s="41"/>
      <c r="V33" s="42" t="s">
        <v>138</v>
      </c>
      <c r="W33" s="42" t="s">
        <v>139</v>
      </c>
      <c r="X33" s="69"/>
      <c r="Y33" s="70"/>
      <c r="Z33" s="74">
        <v>46155</v>
      </c>
    </row>
    <row r="34" spans="1:26" ht="23.4" x14ac:dyDescent="0.3">
      <c r="A34" s="102" t="s">
        <v>140</v>
      </c>
      <c r="B34" s="29" t="s">
        <v>141</v>
      </c>
      <c r="C34" s="30" t="s">
        <v>142</v>
      </c>
      <c r="D34" s="47">
        <v>-13.530076821981355</v>
      </c>
      <c r="E34" s="47">
        <v>-71.938738715231977</v>
      </c>
      <c r="F34" s="72"/>
      <c r="G34" s="72"/>
      <c r="H34" s="49"/>
      <c r="I34" s="49"/>
      <c r="J34" s="50"/>
      <c r="K34" s="51"/>
      <c r="L34" s="52"/>
      <c r="M34" s="73"/>
      <c r="N34" s="53"/>
      <c r="O34" s="54"/>
      <c r="P34" s="61"/>
      <c r="Q34" s="61"/>
      <c r="R34" s="62"/>
      <c r="S34" s="62"/>
      <c r="T34" s="57">
        <v>100</v>
      </c>
      <c r="U34" s="41"/>
      <c r="V34" s="42" t="s">
        <v>143</v>
      </c>
      <c r="W34" s="42" t="s">
        <v>144</v>
      </c>
      <c r="X34" s="69"/>
      <c r="Y34" s="70"/>
      <c r="Z34" s="101">
        <v>46150</v>
      </c>
    </row>
    <row r="35" spans="1:26" ht="23.4" x14ac:dyDescent="0.3">
      <c r="B35" s="46" t="s">
        <v>145</v>
      </c>
      <c r="C35" s="30" t="s">
        <v>146</v>
      </c>
      <c r="D35" s="47">
        <v>-13.531014679692655</v>
      </c>
      <c r="E35" s="47">
        <v>-71.938860996623703</v>
      </c>
      <c r="F35" s="72"/>
      <c r="G35" s="72"/>
      <c r="H35" s="49"/>
      <c r="I35" s="49"/>
      <c r="J35" s="50"/>
      <c r="K35" s="51"/>
      <c r="L35" s="52"/>
      <c r="M35" s="73"/>
      <c r="N35" s="53"/>
      <c r="O35" s="54"/>
      <c r="P35" s="61"/>
      <c r="Q35" s="61"/>
      <c r="R35" s="62"/>
      <c r="S35" s="62"/>
      <c r="T35" s="57"/>
      <c r="U35" s="41"/>
      <c r="V35" s="42"/>
      <c r="W35" s="42"/>
      <c r="X35" s="58">
        <v>17</v>
      </c>
      <c r="Y35" s="59">
        <v>66</v>
      </c>
      <c r="Z35" s="74">
        <v>46154</v>
      </c>
    </row>
    <row r="36" spans="1:26" ht="23.4" x14ac:dyDescent="0.3">
      <c r="B36" s="29" t="s">
        <v>147</v>
      </c>
      <c r="C36" s="30" t="s">
        <v>148</v>
      </c>
      <c r="D36" s="47">
        <v>-13.530340408488385</v>
      </c>
      <c r="E36" s="47">
        <v>-71.937828111664686</v>
      </c>
      <c r="F36" s="72">
        <v>14558</v>
      </c>
      <c r="G36" s="72">
        <v>7</v>
      </c>
      <c r="H36" s="49" t="s">
        <v>149</v>
      </c>
      <c r="I36" s="49" t="s">
        <v>150</v>
      </c>
      <c r="J36" s="50">
        <v>2.5</v>
      </c>
      <c r="K36" s="51" t="s">
        <v>151</v>
      </c>
      <c r="L36" s="52">
        <v>7</v>
      </c>
      <c r="M36" s="73">
        <v>7</v>
      </c>
      <c r="N36" s="53" t="s">
        <v>152</v>
      </c>
      <c r="O36" s="54" t="s">
        <v>153</v>
      </c>
      <c r="P36" s="61"/>
      <c r="Q36" s="61"/>
      <c r="R36" s="62"/>
      <c r="S36" s="62"/>
      <c r="T36" s="57"/>
      <c r="U36" s="41"/>
      <c r="V36" s="42"/>
      <c r="W36" s="42"/>
      <c r="X36" s="58">
        <v>18</v>
      </c>
      <c r="Y36" s="59">
        <v>67</v>
      </c>
      <c r="Z36" s="74">
        <v>46150</v>
      </c>
    </row>
    <row r="37" spans="1:26" ht="23.4" x14ac:dyDescent="0.3">
      <c r="A37" s="102" t="s">
        <v>69</v>
      </c>
      <c r="B37" s="64" t="s">
        <v>154</v>
      </c>
      <c r="C37" s="65" t="s">
        <v>155</v>
      </c>
      <c r="D37" s="66">
        <v>-13.531086147174801</v>
      </c>
      <c r="E37" s="66">
        <v>-71.9336090870015</v>
      </c>
      <c r="F37" s="72"/>
      <c r="G37" s="72"/>
      <c r="H37" s="49"/>
      <c r="I37" s="49"/>
      <c r="J37" s="50"/>
      <c r="K37" s="51" t="s">
        <v>156</v>
      </c>
      <c r="L37" s="52">
        <v>8</v>
      </c>
      <c r="M37" s="73">
        <v>8</v>
      </c>
      <c r="N37" s="53" t="s">
        <v>157</v>
      </c>
      <c r="O37" s="54" t="s">
        <v>158</v>
      </c>
      <c r="P37" s="61"/>
      <c r="Q37" s="61"/>
      <c r="R37" s="62"/>
      <c r="S37" s="62"/>
      <c r="T37" s="57">
        <v>101</v>
      </c>
      <c r="U37" s="41"/>
      <c r="V37" s="42" t="s">
        <v>159</v>
      </c>
      <c r="W37" s="42" t="s">
        <v>160</v>
      </c>
      <c r="X37" s="69"/>
      <c r="Y37" s="70"/>
      <c r="Z37" s="74">
        <v>46157</v>
      </c>
    </row>
    <row r="38" spans="1:26" ht="23.4" x14ac:dyDescent="0.3">
      <c r="B38" s="29" t="s">
        <v>161</v>
      </c>
      <c r="C38" s="30" t="s">
        <v>162</v>
      </c>
      <c r="D38" s="47">
        <v>-13.530485079416076</v>
      </c>
      <c r="E38" s="47">
        <v>-71.937045276625881</v>
      </c>
      <c r="F38" s="72"/>
      <c r="G38" s="72"/>
      <c r="H38" s="49"/>
      <c r="I38" s="49"/>
      <c r="J38" s="50"/>
      <c r="K38" s="51" t="s">
        <v>163</v>
      </c>
      <c r="L38" s="52">
        <v>9</v>
      </c>
      <c r="M38" s="73">
        <v>9</v>
      </c>
      <c r="N38" s="53" t="s">
        <v>164</v>
      </c>
      <c r="O38" s="54" t="s">
        <v>165</v>
      </c>
      <c r="P38" s="61"/>
      <c r="Q38" s="61"/>
      <c r="R38" s="62"/>
      <c r="S38" s="62"/>
      <c r="T38" s="57"/>
      <c r="U38" s="41"/>
      <c r="V38" s="42"/>
      <c r="W38" s="42"/>
      <c r="X38" s="58">
        <v>19</v>
      </c>
      <c r="Y38" s="59">
        <v>68</v>
      </c>
      <c r="Z38" s="74">
        <v>46153</v>
      </c>
    </row>
    <row r="39" spans="1:26" ht="23.4" x14ac:dyDescent="0.3">
      <c r="B39" s="46" t="s">
        <v>166</v>
      </c>
      <c r="C39" s="30" t="s">
        <v>167</v>
      </c>
      <c r="D39" s="47">
        <v>-13.531108034052412</v>
      </c>
      <c r="E39" s="47">
        <v>-71.936295998784232</v>
      </c>
      <c r="F39" s="72"/>
      <c r="G39" s="72"/>
      <c r="H39" s="49"/>
      <c r="I39" s="49"/>
      <c r="J39" s="50"/>
      <c r="K39" s="51" t="s">
        <v>168</v>
      </c>
      <c r="L39" s="52">
        <v>10</v>
      </c>
      <c r="M39" s="73">
        <v>10</v>
      </c>
      <c r="N39" s="53" t="s">
        <v>169</v>
      </c>
      <c r="O39" s="54" t="s">
        <v>170</v>
      </c>
      <c r="P39" s="61"/>
      <c r="Q39" s="61"/>
      <c r="R39" s="62"/>
      <c r="S39" s="62"/>
      <c r="T39" s="57"/>
      <c r="U39" s="41"/>
      <c r="V39" s="42"/>
      <c r="W39" s="42"/>
      <c r="X39" s="58">
        <v>20</v>
      </c>
      <c r="Y39" s="59">
        <v>69</v>
      </c>
      <c r="Z39" s="74">
        <v>46157</v>
      </c>
    </row>
    <row r="40" spans="1:26" ht="23.4" x14ac:dyDescent="0.3">
      <c r="B40" s="75" t="s">
        <v>171</v>
      </c>
      <c r="C40" s="65" t="s">
        <v>172</v>
      </c>
      <c r="D40" s="66">
        <v>-13.531396281709707</v>
      </c>
      <c r="E40" s="66">
        <v>-71.93713030202484</v>
      </c>
      <c r="F40" s="72"/>
      <c r="G40" s="72"/>
      <c r="H40" s="100"/>
      <c r="I40" s="100"/>
      <c r="J40" s="50"/>
      <c r="K40" s="51" t="s">
        <v>173</v>
      </c>
      <c r="L40" s="52">
        <v>11</v>
      </c>
      <c r="M40" s="73">
        <v>11</v>
      </c>
      <c r="N40" s="53" t="s">
        <v>174</v>
      </c>
      <c r="O40" s="54" t="s">
        <v>175</v>
      </c>
      <c r="P40" s="61"/>
      <c r="Q40" s="61"/>
      <c r="R40" s="62"/>
      <c r="S40" s="62"/>
      <c r="T40" s="57"/>
      <c r="U40" s="41"/>
      <c r="V40" s="42"/>
      <c r="W40" s="42"/>
      <c r="X40" s="58">
        <v>21</v>
      </c>
      <c r="Y40" s="59">
        <v>70</v>
      </c>
      <c r="Z40" s="74">
        <v>46155</v>
      </c>
    </row>
    <row r="41" spans="1:26" ht="23.4" x14ac:dyDescent="0.3">
      <c r="B41" s="75" t="s">
        <v>176</v>
      </c>
      <c r="C41" s="30" t="s">
        <v>177</v>
      </c>
      <c r="D41" s="78">
        <v>-13.532270278017668</v>
      </c>
      <c r="E41" s="78">
        <v>-71.937307180068032</v>
      </c>
      <c r="F41" s="72"/>
      <c r="G41" s="72"/>
      <c r="H41" s="49"/>
      <c r="I41" s="49"/>
      <c r="J41" s="50"/>
      <c r="K41" s="51" t="s">
        <v>178</v>
      </c>
      <c r="L41" s="52">
        <v>12</v>
      </c>
      <c r="M41" s="73">
        <v>12</v>
      </c>
      <c r="N41" s="53" t="s">
        <v>179</v>
      </c>
      <c r="O41" s="54" t="s">
        <v>180</v>
      </c>
      <c r="P41" s="61"/>
      <c r="Q41" s="61"/>
      <c r="R41" s="62"/>
      <c r="S41" s="62"/>
      <c r="T41" s="57"/>
      <c r="U41" s="41"/>
      <c r="V41" s="42"/>
      <c r="W41" s="42"/>
      <c r="X41" s="58">
        <v>22</v>
      </c>
      <c r="Y41" s="59">
        <v>71</v>
      </c>
      <c r="Z41" s="74">
        <v>46156</v>
      </c>
    </row>
    <row r="42" spans="1:26" ht="23.4" x14ac:dyDescent="0.3">
      <c r="B42" s="29" t="s">
        <v>181</v>
      </c>
      <c r="C42" s="30" t="s">
        <v>182</v>
      </c>
      <c r="D42" s="47">
        <v>-13.529773377274358</v>
      </c>
      <c r="E42" s="47">
        <v>-71.936122707193491</v>
      </c>
      <c r="F42" s="72"/>
      <c r="G42" s="72"/>
      <c r="H42" s="100"/>
      <c r="I42" s="100"/>
      <c r="J42" s="50"/>
      <c r="K42" s="51" t="s">
        <v>183</v>
      </c>
      <c r="L42" s="52">
        <v>13</v>
      </c>
      <c r="M42" s="73">
        <v>13</v>
      </c>
      <c r="N42" s="53" t="s">
        <v>184</v>
      </c>
      <c r="O42" s="54" t="s">
        <v>185</v>
      </c>
      <c r="P42" s="61"/>
      <c r="Q42" s="61"/>
      <c r="R42" s="62"/>
      <c r="S42" s="62"/>
      <c r="T42" s="57"/>
      <c r="U42" s="41"/>
      <c r="V42" s="42"/>
      <c r="W42" s="42"/>
      <c r="X42" s="58">
        <v>23</v>
      </c>
      <c r="Y42" s="59">
        <v>72</v>
      </c>
      <c r="Z42" s="74">
        <v>46153</v>
      </c>
    </row>
    <row r="43" spans="1:26" ht="23.4" x14ac:dyDescent="0.3">
      <c r="B43" s="64" t="s">
        <v>186</v>
      </c>
      <c r="C43" s="65" t="s">
        <v>187</v>
      </c>
      <c r="D43" s="66">
        <v>-13.531549433692168</v>
      </c>
      <c r="E43" s="66">
        <v>-71.934086028647783</v>
      </c>
      <c r="F43" s="72"/>
      <c r="G43" s="72"/>
      <c r="H43" s="100"/>
      <c r="I43" s="100"/>
      <c r="J43" s="50"/>
      <c r="K43" s="51" t="s">
        <v>188</v>
      </c>
      <c r="L43" s="52">
        <v>14</v>
      </c>
      <c r="M43" s="73">
        <v>14</v>
      </c>
      <c r="N43" s="53" t="s">
        <v>189</v>
      </c>
      <c r="O43" s="54" t="s">
        <v>190</v>
      </c>
      <c r="P43" s="61"/>
      <c r="Q43" s="61"/>
      <c r="R43" s="62"/>
      <c r="S43" s="62"/>
      <c r="T43" s="57"/>
      <c r="U43" s="41"/>
      <c r="V43" s="42"/>
      <c r="W43" s="42"/>
      <c r="X43" s="58">
        <v>24</v>
      </c>
      <c r="Y43" s="59">
        <v>73</v>
      </c>
      <c r="Z43" s="74">
        <v>46156</v>
      </c>
    </row>
    <row r="44" spans="1:26" ht="23.4" x14ac:dyDescent="0.3">
      <c r="A44" s="102" t="s">
        <v>191</v>
      </c>
      <c r="B44" s="29" t="s">
        <v>192</v>
      </c>
      <c r="C44" s="30" t="s">
        <v>193</v>
      </c>
      <c r="D44" s="47">
        <v>-13.532644320268201</v>
      </c>
      <c r="E44" s="47">
        <v>-71.934680990740333</v>
      </c>
      <c r="F44" s="72"/>
      <c r="G44" s="72"/>
      <c r="H44" s="100"/>
      <c r="I44" s="100"/>
      <c r="J44" s="50"/>
      <c r="K44" s="51"/>
      <c r="L44" s="52"/>
      <c r="M44" s="73"/>
      <c r="N44" s="53"/>
      <c r="O44" s="54"/>
      <c r="P44" s="61"/>
      <c r="Q44" s="61"/>
      <c r="R44" s="62"/>
      <c r="S44" s="62"/>
      <c r="T44" s="57"/>
      <c r="U44" s="41"/>
      <c r="V44" s="42"/>
      <c r="W44" s="42"/>
      <c r="X44" s="58">
        <v>25</v>
      </c>
      <c r="Y44" s="59">
        <v>74</v>
      </c>
      <c r="Z44" s="74">
        <v>46156</v>
      </c>
    </row>
    <row r="45" spans="1:26" ht="23.4" x14ac:dyDescent="0.3">
      <c r="B45" s="114" t="s">
        <v>194</v>
      </c>
      <c r="C45" s="115" t="s">
        <v>195</v>
      </c>
      <c r="D45" s="116">
        <v>-13.532464832819</v>
      </c>
      <c r="E45" s="116">
        <v>-71.935876309529604</v>
      </c>
      <c r="F45" s="117">
        <v>14579</v>
      </c>
      <c r="G45" s="117">
        <v>28</v>
      </c>
      <c r="H45" s="118" t="s">
        <v>196</v>
      </c>
      <c r="I45" s="118" t="s">
        <v>197</v>
      </c>
      <c r="J45" s="119">
        <v>2</v>
      </c>
      <c r="K45" s="120"/>
      <c r="L45" s="121"/>
      <c r="M45" s="122"/>
      <c r="N45" s="123"/>
      <c r="O45" s="124"/>
      <c r="P45" s="125"/>
      <c r="Q45" s="125"/>
      <c r="R45" s="126"/>
      <c r="S45" s="126"/>
      <c r="T45" s="127"/>
      <c r="U45" s="128"/>
      <c r="V45" s="129"/>
      <c r="W45" s="129"/>
      <c r="X45" s="130">
        <v>26</v>
      </c>
      <c r="Y45" s="131">
        <v>75</v>
      </c>
      <c r="Z45" s="312" t="s">
        <v>198</v>
      </c>
    </row>
    <row r="46" spans="1:26" ht="23.4" x14ac:dyDescent="0.3">
      <c r="B46" s="132" t="s">
        <v>199</v>
      </c>
      <c r="C46" s="133" t="s">
        <v>200</v>
      </c>
      <c r="D46" s="134">
        <v>-13.534117540813339</v>
      </c>
      <c r="E46" s="134">
        <v>-71.93612983854473</v>
      </c>
      <c r="F46" s="135"/>
      <c r="G46" s="135"/>
      <c r="H46" s="136"/>
      <c r="I46" s="136"/>
      <c r="J46" s="137"/>
      <c r="K46" s="138"/>
      <c r="L46" s="139"/>
      <c r="M46" s="140"/>
      <c r="N46" s="141"/>
      <c r="O46" s="142"/>
      <c r="P46" s="143"/>
      <c r="Q46" s="143"/>
      <c r="R46" s="144"/>
      <c r="S46" s="144"/>
      <c r="T46" s="145"/>
      <c r="U46" s="146"/>
      <c r="V46" s="147"/>
      <c r="W46" s="147"/>
      <c r="X46" s="148">
        <v>27</v>
      </c>
      <c r="Y46" s="149">
        <v>76</v>
      </c>
      <c r="Z46" s="313" t="s">
        <v>201</v>
      </c>
    </row>
    <row r="47" spans="1:26" ht="23.4" x14ac:dyDescent="0.3">
      <c r="B47" s="46" t="s">
        <v>202</v>
      </c>
      <c r="C47" s="30" t="s">
        <v>203</v>
      </c>
      <c r="D47" s="47">
        <v>-13.533913157998786</v>
      </c>
      <c r="E47" s="47">
        <v>-71.937382726555157</v>
      </c>
      <c r="F47" s="72"/>
      <c r="G47" s="72"/>
      <c r="H47" s="100"/>
      <c r="I47" s="100"/>
      <c r="J47" s="50"/>
      <c r="K47" s="51"/>
      <c r="L47" s="52"/>
      <c r="M47" s="73"/>
      <c r="N47" s="53"/>
      <c r="O47" s="54"/>
      <c r="P47" s="61"/>
      <c r="Q47" s="61"/>
      <c r="R47" s="62"/>
      <c r="S47" s="62"/>
      <c r="T47" s="57"/>
      <c r="U47" s="41"/>
      <c r="V47" s="42"/>
      <c r="W47" s="42"/>
      <c r="X47" s="58">
        <v>28</v>
      </c>
      <c r="Y47" s="59">
        <v>77</v>
      </c>
      <c r="Z47" s="74">
        <v>46167</v>
      </c>
    </row>
    <row r="48" spans="1:26" ht="23.4" x14ac:dyDescent="0.3">
      <c r="B48" s="29" t="s">
        <v>204</v>
      </c>
      <c r="C48" s="30" t="s">
        <v>205</v>
      </c>
      <c r="D48" s="47">
        <v>-13.532974786407298</v>
      </c>
      <c r="E48" s="47">
        <v>-71.938072751470457</v>
      </c>
      <c r="F48" s="72"/>
      <c r="G48" s="72"/>
      <c r="H48" s="100"/>
      <c r="I48" s="100"/>
      <c r="J48" s="50"/>
      <c r="K48" s="51"/>
      <c r="L48" s="52"/>
      <c r="M48" s="73"/>
      <c r="N48" s="53"/>
      <c r="O48" s="54"/>
      <c r="P48" s="61"/>
      <c r="Q48" s="61"/>
      <c r="R48" s="62"/>
      <c r="S48" s="62"/>
      <c r="T48" s="57"/>
      <c r="U48" s="41"/>
      <c r="V48" s="42"/>
      <c r="W48" s="42"/>
      <c r="X48" s="58">
        <v>29</v>
      </c>
      <c r="Y48" s="59">
        <v>78</v>
      </c>
      <c r="Z48" s="74">
        <v>46167</v>
      </c>
    </row>
    <row r="49" spans="2:26" ht="23.4" x14ac:dyDescent="0.3">
      <c r="B49" s="29" t="s">
        <v>206</v>
      </c>
      <c r="C49" s="30" t="s">
        <v>207</v>
      </c>
      <c r="D49" s="47">
        <v>-13.535096071590361</v>
      </c>
      <c r="E49" s="47">
        <v>-71.933557189353536</v>
      </c>
      <c r="F49" s="72">
        <v>14559</v>
      </c>
      <c r="G49" s="72">
        <v>8</v>
      </c>
      <c r="H49" s="100" t="s">
        <v>208</v>
      </c>
      <c r="I49" s="100" t="s">
        <v>209</v>
      </c>
      <c r="J49" s="50">
        <v>2</v>
      </c>
      <c r="K49" s="51"/>
      <c r="L49" s="52"/>
      <c r="M49" s="73"/>
      <c r="N49" s="53"/>
      <c r="O49" s="54"/>
      <c r="P49" s="61"/>
      <c r="Q49" s="61"/>
      <c r="R49" s="62"/>
      <c r="S49" s="62"/>
      <c r="T49" s="57"/>
      <c r="U49" s="41"/>
      <c r="V49" s="42"/>
      <c r="W49" s="42"/>
      <c r="X49" s="58">
        <v>30</v>
      </c>
      <c r="Y49" s="59">
        <v>79</v>
      </c>
      <c r="Z49" s="74">
        <v>46169</v>
      </c>
    </row>
    <row r="50" spans="2:26" ht="23.4" x14ac:dyDescent="0.3">
      <c r="B50" s="29" t="s">
        <v>210</v>
      </c>
      <c r="C50" s="30" t="s">
        <v>211</v>
      </c>
      <c r="D50" s="47">
        <v>-13.534748008522184</v>
      </c>
      <c r="E50" s="47">
        <v>-71.935509872971636</v>
      </c>
      <c r="F50" s="72"/>
      <c r="G50" s="72"/>
      <c r="H50" s="100"/>
      <c r="I50" s="100"/>
      <c r="J50" s="50"/>
      <c r="K50" s="51" t="s">
        <v>212</v>
      </c>
      <c r="L50" s="52">
        <v>15</v>
      </c>
      <c r="M50" s="73">
        <v>15</v>
      </c>
      <c r="N50" s="53" t="s">
        <v>213</v>
      </c>
      <c r="O50" s="54" t="s">
        <v>214</v>
      </c>
      <c r="P50" s="61"/>
      <c r="Q50" s="61"/>
      <c r="R50" s="62"/>
      <c r="S50" s="62"/>
      <c r="T50" s="57"/>
      <c r="U50" s="41"/>
      <c r="V50" s="42"/>
      <c r="W50" s="42"/>
      <c r="X50" s="58">
        <v>31</v>
      </c>
      <c r="Y50" s="59">
        <v>80</v>
      </c>
      <c r="Z50" s="74">
        <v>46169</v>
      </c>
    </row>
    <row r="51" spans="2:26" ht="23.4" x14ac:dyDescent="0.3">
      <c r="B51" s="46" t="s">
        <v>215</v>
      </c>
      <c r="C51" s="30" t="s">
        <v>216</v>
      </c>
      <c r="D51" s="47">
        <v>-13.533662767306602</v>
      </c>
      <c r="E51" s="47">
        <v>-71.934093472331341</v>
      </c>
      <c r="F51" s="72"/>
      <c r="G51" s="72"/>
      <c r="H51" s="100"/>
      <c r="I51" s="100"/>
      <c r="J51" s="50"/>
      <c r="K51" s="51"/>
      <c r="L51" s="52"/>
      <c r="M51" s="73"/>
      <c r="N51" s="53"/>
      <c r="O51" s="54"/>
      <c r="P51" s="61">
        <v>8</v>
      </c>
      <c r="Q51" s="61">
        <v>14010</v>
      </c>
      <c r="R51" s="62" t="s">
        <v>217</v>
      </c>
      <c r="S51" s="56" t="s">
        <v>218</v>
      </c>
      <c r="T51" s="67"/>
      <c r="U51" s="68"/>
      <c r="V51" s="42"/>
      <c r="W51" s="42"/>
      <c r="X51" s="69"/>
      <c r="Y51" s="70"/>
      <c r="Z51" s="74">
        <v>46167</v>
      </c>
    </row>
    <row r="52" spans="2:26" ht="23.4" x14ac:dyDescent="0.3">
      <c r="B52" s="75" t="s">
        <v>219</v>
      </c>
      <c r="C52" s="65" t="s">
        <v>220</v>
      </c>
      <c r="D52" s="116">
        <v>-13.532058921881218</v>
      </c>
      <c r="E52" s="116">
        <v>-71.938384586395571</v>
      </c>
      <c r="F52" s="72"/>
      <c r="G52" s="72"/>
      <c r="H52" s="49"/>
      <c r="I52" s="49"/>
      <c r="J52" s="50"/>
      <c r="K52" s="51"/>
      <c r="L52" s="52"/>
      <c r="M52" s="73"/>
      <c r="N52" s="53"/>
      <c r="O52" s="54"/>
      <c r="P52" s="61"/>
      <c r="Q52" s="61"/>
      <c r="R52" s="62"/>
      <c r="S52" s="62"/>
      <c r="T52" s="57"/>
      <c r="U52" s="41"/>
      <c r="V52" s="42"/>
      <c r="W52" s="42"/>
      <c r="X52" s="58">
        <v>32</v>
      </c>
      <c r="Y52" s="59">
        <v>81</v>
      </c>
      <c r="Z52" s="74">
        <v>46155</v>
      </c>
    </row>
    <row r="53" spans="2:26" ht="23.4" x14ac:dyDescent="0.3">
      <c r="B53" s="46" t="s">
        <v>221</v>
      </c>
      <c r="C53" s="30" t="s">
        <v>222</v>
      </c>
      <c r="D53" s="47">
        <v>-13.533224865593596</v>
      </c>
      <c r="E53" s="47">
        <v>-71.936774276096514</v>
      </c>
      <c r="F53" s="72"/>
      <c r="G53" s="72"/>
      <c r="H53" s="100"/>
      <c r="I53" s="100"/>
      <c r="J53" s="50"/>
      <c r="K53" s="51"/>
      <c r="L53" s="52"/>
      <c r="M53" s="73"/>
      <c r="N53" s="53"/>
      <c r="O53" s="54"/>
      <c r="P53" s="61"/>
      <c r="Q53" s="61"/>
      <c r="R53" s="62"/>
      <c r="S53" s="62"/>
      <c r="T53" s="57"/>
      <c r="U53" s="41"/>
      <c r="V53" s="42"/>
      <c r="W53" s="42"/>
      <c r="X53" s="58">
        <v>33</v>
      </c>
      <c r="Y53" s="59">
        <v>82</v>
      </c>
      <c r="Z53" s="63">
        <v>46171</v>
      </c>
    </row>
    <row r="54" spans="2:26" ht="23.4" x14ac:dyDescent="0.3">
      <c r="B54" s="29" t="s">
        <v>223</v>
      </c>
      <c r="C54" s="30" t="s">
        <v>224</v>
      </c>
      <c r="D54" s="47">
        <v>-13.528214905668996</v>
      </c>
      <c r="E54" s="47">
        <v>-71.941161971785746</v>
      </c>
      <c r="F54" s="72">
        <v>14560</v>
      </c>
      <c r="G54" s="72">
        <v>9</v>
      </c>
      <c r="H54" s="49" t="s">
        <v>225</v>
      </c>
      <c r="I54" s="49" t="s">
        <v>226</v>
      </c>
      <c r="J54" s="50">
        <v>2.5</v>
      </c>
      <c r="K54" s="51"/>
      <c r="L54" s="52"/>
      <c r="M54" s="73"/>
      <c r="N54" s="53"/>
      <c r="O54" s="54"/>
      <c r="P54" s="61"/>
      <c r="Q54" s="61"/>
      <c r="R54" s="62"/>
      <c r="S54" s="62"/>
      <c r="T54" s="57"/>
      <c r="U54" s="41"/>
      <c r="V54" s="42"/>
      <c r="W54" s="42"/>
      <c r="X54" s="58">
        <v>34</v>
      </c>
      <c r="Y54" s="59">
        <v>83</v>
      </c>
      <c r="Z54" s="74">
        <v>46151</v>
      </c>
    </row>
    <row r="55" spans="2:26" ht="23.4" x14ac:dyDescent="0.3">
      <c r="B55" s="46" t="s">
        <v>227</v>
      </c>
      <c r="C55" s="30" t="s">
        <v>228</v>
      </c>
      <c r="D55" s="47">
        <v>-13.52802451</v>
      </c>
      <c r="E55" s="47">
        <v>-71.941224250000005</v>
      </c>
      <c r="F55" s="72">
        <v>14561</v>
      </c>
      <c r="G55" s="72">
        <v>10</v>
      </c>
      <c r="H55" s="49" t="s">
        <v>229</v>
      </c>
      <c r="I55" s="49" t="s">
        <v>230</v>
      </c>
      <c r="J55" s="50">
        <v>2</v>
      </c>
      <c r="K55" s="51"/>
      <c r="L55" s="52"/>
      <c r="M55" s="73"/>
      <c r="N55" s="53"/>
      <c r="O55" s="54"/>
      <c r="P55" s="61"/>
      <c r="Q55" s="61"/>
      <c r="R55" s="62"/>
      <c r="S55" s="62"/>
      <c r="T55" s="57"/>
      <c r="U55" s="41"/>
      <c r="V55" s="42"/>
      <c r="W55" s="42"/>
      <c r="X55" s="58">
        <v>35</v>
      </c>
      <c r="Y55" s="59">
        <v>84</v>
      </c>
      <c r="Z55" s="74">
        <v>46154</v>
      </c>
    </row>
    <row r="56" spans="2:26" ht="23.4" x14ac:dyDescent="0.3">
      <c r="B56" s="75" t="s">
        <v>231</v>
      </c>
      <c r="C56" s="65" t="s">
        <v>232</v>
      </c>
      <c r="D56" s="66">
        <v>-13.529340343411114</v>
      </c>
      <c r="E56" s="66">
        <v>-71.938388140809039</v>
      </c>
      <c r="F56" s="72"/>
      <c r="G56" s="72"/>
      <c r="H56" s="100"/>
      <c r="I56" s="100"/>
      <c r="J56" s="50"/>
      <c r="K56" s="51"/>
      <c r="L56" s="52"/>
      <c r="M56" s="73"/>
      <c r="N56" s="53"/>
      <c r="O56" s="54"/>
      <c r="P56" s="61"/>
      <c r="Q56" s="61"/>
      <c r="R56" s="62"/>
      <c r="S56" s="62"/>
      <c r="T56" s="57"/>
      <c r="U56" s="41"/>
      <c r="V56" s="42"/>
      <c r="W56" s="42"/>
      <c r="X56" s="58">
        <v>36</v>
      </c>
      <c r="Y56" s="59">
        <v>85</v>
      </c>
      <c r="Z56" s="74">
        <v>46151</v>
      </c>
    </row>
    <row r="57" spans="2:26" ht="23.4" x14ac:dyDescent="0.3">
      <c r="B57" s="46" t="s">
        <v>233</v>
      </c>
      <c r="C57" s="30" t="s">
        <v>234</v>
      </c>
      <c r="D57" s="47">
        <v>-13.515667231984171</v>
      </c>
      <c r="E57" s="47">
        <v>-71.927522656302969</v>
      </c>
      <c r="F57" s="72"/>
      <c r="G57" s="72"/>
      <c r="H57" s="49"/>
      <c r="I57" s="49"/>
      <c r="J57" s="50"/>
      <c r="K57" s="51"/>
      <c r="L57" s="52"/>
      <c r="M57" s="73"/>
      <c r="N57" s="53"/>
      <c r="O57" s="54"/>
      <c r="P57" s="61">
        <v>9</v>
      </c>
      <c r="Q57" s="61">
        <v>14011</v>
      </c>
      <c r="R57" s="62" t="s">
        <v>235</v>
      </c>
      <c r="S57" s="56" t="s">
        <v>236</v>
      </c>
      <c r="T57" s="67"/>
      <c r="U57" s="68"/>
      <c r="V57" s="42"/>
      <c r="W57" s="42"/>
      <c r="X57" s="69"/>
      <c r="Y57" s="70"/>
      <c r="Z57" s="74">
        <v>46220</v>
      </c>
    </row>
    <row r="58" spans="2:26" ht="23.4" x14ac:dyDescent="0.3">
      <c r="B58" s="150" t="s">
        <v>237</v>
      </c>
      <c r="C58" s="151" t="s">
        <v>238</v>
      </c>
      <c r="D58" s="78">
        <v>-13.516240850140898</v>
      </c>
      <c r="E58" s="78">
        <v>-71.930215657788622</v>
      </c>
      <c r="F58" s="152"/>
      <c r="G58" s="152"/>
      <c r="H58" s="153"/>
      <c r="I58" s="153"/>
      <c r="J58" s="76"/>
      <c r="K58" s="154"/>
      <c r="L58" s="155"/>
      <c r="M58" s="156"/>
      <c r="N58" s="157"/>
      <c r="O58" s="158"/>
      <c r="P58" s="159"/>
      <c r="Q58" s="159"/>
      <c r="R58" s="160"/>
      <c r="S58" s="160"/>
      <c r="T58" s="161">
        <v>102</v>
      </c>
      <c r="U58" s="162"/>
      <c r="V58" s="163" t="s">
        <v>239</v>
      </c>
      <c r="W58" s="163" t="s">
        <v>240</v>
      </c>
      <c r="X58" s="164"/>
      <c r="Y58" s="165"/>
      <c r="Z58" s="166"/>
    </row>
    <row r="59" spans="2:26" ht="23.4" x14ac:dyDescent="0.3">
      <c r="B59" s="29" t="s">
        <v>241</v>
      </c>
      <c r="C59" s="30" t="s">
        <v>242</v>
      </c>
      <c r="D59" s="167">
        <v>-13.52229421</v>
      </c>
      <c r="E59" s="167">
        <v>-71.927003330999995</v>
      </c>
      <c r="F59" s="72">
        <v>14562</v>
      </c>
      <c r="G59" s="72">
        <v>11</v>
      </c>
      <c r="H59" s="49" t="s">
        <v>243</v>
      </c>
      <c r="I59" s="49" t="s">
        <v>244</v>
      </c>
      <c r="J59" s="50">
        <v>2</v>
      </c>
      <c r="K59" s="51"/>
      <c r="L59" s="52"/>
      <c r="M59" s="73"/>
      <c r="N59" s="53"/>
      <c r="O59" s="54"/>
      <c r="P59" s="61"/>
      <c r="Q59" s="61"/>
      <c r="R59" s="62"/>
      <c r="S59" s="62"/>
      <c r="T59" s="57"/>
      <c r="U59" s="41"/>
      <c r="V59" s="42"/>
      <c r="W59" s="42"/>
      <c r="X59" s="69">
        <v>37</v>
      </c>
      <c r="Y59" s="70">
        <v>86</v>
      </c>
      <c r="Z59" s="74">
        <v>46212</v>
      </c>
    </row>
    <row r="60" spans="2:26" ht="23.4" x14ac:dyDescent="0.3">
      <c r="B60" s="29" t="s">
        <v>245</v>
      </c>
      <c r="C60" s="30" t="s">
        <v>246</v>
      </c>
      <c r="D60" s="78">
        <v>-13.53058315</v>
      </c>
      <c r="E60" s="78">
        <v>-71.931766499999995</v>
      </c>
      <c r="F60" s="72"/>
      <c r="G60" s="72"/>
      <c r="H60" s="49"/>
      <c r="I60" s="49"/>
      <c r="J60" s="50"/>
      <c r="K60" s="51"/>
      <c r="L60" s="52"/>
      <c r="M60" s="73"/>
      <c r="N60" s="53"/>
      <c r="O60" s="54"/>
      <c r="P60" s="61"/>
      <c r="Q60" s="61"/>
      <c r="R60" s="62"/>
      <c r="S60" s="62"/>
      <c r="T60" s="57"/>
      <c r="U60" s="41"/>
      <c r="V60" s="42"/>
      <c r="W60" s="42"/>
      <c r="X60" s="58">
        <v>38</v>
      </c>
      <c r="Y60" s="59">
        <v>87</v>
      </c>
      <c r="Z60" s="74">
        <v>46181</v>
      </c>
    </row>
    <row r="61" spans="2:26" ht="23.4" x14ac:dyDescent="0.3">
      <c r="B61" s="64" t="s">
        <v>247</v>
      </c>
      <c r="C61" s="65" t="s">
        <v>248</v>
      </c>
      <c r="D61" s="66">
        <v>-13.528821622298093</v>
      </c>
      <c r="E61" s="66">
        <v>-71.931024933697984</v>
      </c>
      <c r="F61" s="72">
        <v>14563</v>
      </c>
      <c r="G61" s="72">
        <v>12</v>
      </c>
      <c r="H61" s="49" t="s">
        <v>249</v>
      </c>
      <c r="I61" s="49" t="s">
        <v>250</v>
      </c>
      <c r="J61" s="50">
        <v>2</v>
      </c>
      <c r="K61" s="51"/>
      <c r="L61" s="52"/>
      <c r="M61" s="73"/>
      <c r="N61" s="53"/>
      <c r="O61" s="54"/>
      <c r="P61" s="61">
        <v>10</v>
      </c>
      <c r="Q61" s="61">
        <v>14012</v>
      </c>
      <c r="R61" s="62" t="s">
        <v>251</v>
      </c>
      <c r="S61" s="56" t="s">
        <v>252</v>
      </c>
      <c r="T61" s="67"/>
      <c r="U61" s="68"/>
      <c r="V61" s="42"/>
      <c r="W61" s="42"/>
      <c r="X61" s="69"/>
      <c r="Y61" s="70"/>
      <c r="Z61" s="74">
        <v>46189</v>
      </c>
    </row>
    <row r="62" spans="2:26" ht="23.4" x14ac:dyDescent="0.3">
      <c r="B62" s="75" t="s">
        <v>253</v>
      </c>
      <c r="C62" s="65" t="s">
        <v>254</v>
      </c>
      <c r="D62" s="66">
        <v>-13.530140468934921</v>
      </c>
      <c r="E62" s="66">
        <v>-71.926379544792923</v>
      </c>
      <c r="F62" s="72"/>
      <c r="G62" s="72"/>
      <c r="H62" s="100"/>
      <c r="I62" s="100"/>
      <c r="J62" s="50"/>
      <c r="K62" s="51"/>
      <c r="L62" s="52"/>
      <c r="M62" s="73"/>
      <c r="N62" s="53"/>
      <c r="O62" s="54"/>
      <c r="P62" s="61">
        <v>11</v>
      </c>
      <c r="Q62" s="61">
        <v>14013</v>
      </c>
      <c r="R62" s="62" t="s">
        <v>255</v>
      </c>
      <c r="S62" s="62" t="s">
        <v>256</v>
      </c>
      <c r="T62" s="57"/>
      <c r="U62" s="41"/>
      <c r="V62" s="42"/>
      <c r="W62" s="42"/>
      <c r="X62" s="69"/>
      <c r="Y62" s="70"/>
      <c r="Z62" s="74">
        <v>46189</v>
      </c>
    </row>
    <row r="63" spans="2:26" ht="23.4" x14ac:dyDescent="0.3">
      <c r="B63" s="46" t="s">
        <v>257</v>
      </c>
      <c r="C63" s="30" t="s">
        <v>258</v>
      </c>
      <c r="D63" s="47">
        <v>-13.529269372816717</v>
      </c>
      <c r="E63" s="47">
        <v>-71.923636593801305</v>
      </c>
      <c r="F63" s="72"/>
      <c r="G63" s="72"/>
      <c r="H63" s="100"/>
      <c r="I63" s="100"/>
      <c r="J63" s="50"/>
      <c r="K63" s="51"/>
      <c r="L63" s="52"/>
      <c r="M63" s="73"/>
      <c r="N63" s="104"/>
      <c r="O63" s="105"/>
      <c r="P63" s="61">
        <v>12</v>
      </c>
      <c r="Q63" s="61">
        <v>14014</v>
      </c>
      <c r="R63" s="62" t="s">
        <v>259</v>
      </c>
      <c r="S63" s="56" t="s">
        <v>260</v>
      </c>
      <c r="T63" s="67"/>
      <c r="U63" s="68"/>
      <c r="V63" s="42"/>
      <c r="W63" s="42"/>
      <c r="X63" s="69"/>
      <c r="Y63" s="70"/>
      <c r="Z63" s="74">
        <v>46213</v>
      </c>
    </row>
    <row r="64" spans="2:26" ht="23.4" x14ac:dyDescent="0.3">
      <c r="B64" s="29" t="s">
        <v>261</v>
      </c>
      <c r="C64" s="30" t="s">
        <v>262</v>
      </c>
      <c r="D64" s="47">
        <v>-13.527646891174976</v>
      </c>
      <c r="E64" s="47">
        <v>-71.927992128154457</v>
      </c>
      <c r="F64" s="72">
        <v>14564</v>
      </c>
      <c r="G64" s="72">
        <v>13</v>
      </c>
      <c r="H64" s="100" t="s">
        <v>263</v>
      </c>
      <c r="I64" s="100" t="s">
        <v>264</v>
      </c>
      <c r="J64" s="50">
        <v>2</v>
      </c>
      <c r="K64" s="51"/>
      <c r="L64" s="52"/>
      <c r="M64" s="73"/>
      <c r="N64" s="104"/>
      <c r="O64" s="105"/>
      <c r="P64" s="61"/>
      <c r="Q64" s="61"/>
      <c r="R64" s="62"/>
      <c r="S64" s="62"/>
      <c r="T64" s="57"/>
      <c r="U64" s="41"/>
      <c r="V64" s="42"/>
      <c r="W64" s="42"/>
      <c r="X64" s="58">
        <v>39</v>
      </c>
      <c r="Y64" s="59">
        <v>88</v>
      </c>
      <c r="Z64" s="74">
        <v>46213</v>
      </c>
    </row>
    <row r="65" spans="2:26" ht="23.4" x14ac:dyDescent="0.3">
      <c r="B65" s="64" t="s">
        <v>265</v>
      </c>
      <c r="C65" s="65" t="s">
        <v>266</v>
      </c>
      <c r="D65" s="66">
        <v>-13.517675612340147</v>
      </c>
      <c r="E65" s="66">
        <v>-71.930325503522766</v>
      </c>
      <c r="F65" s="72"/>
      <c r="G65" s="72"/>
      <c r="H65" s="100"/>
      <c r="I65" s="100"/>
      <c r="J65" s="50"/>
      <c r="K65" s="51"/>
      <c r="L65" s="52"/>
      <c r="M65" s="73"/>
      <c r="N65" s="104"/>
      <c r="O65" s="105"/>
      <c r="P65" s="61">
        <v>13</v>
      </c>
      <c r="Q65" s="61">
        <v>14015</v>
      </c>
      <c r="R65" s="62" t="s">
        <v>267</v>
      </c>
      <c r="S65" s="62" t="s">
        <v>268</v>
      </c>
      <c r="T65" s="57"/>
      <c r="U65" s="41"/>
      <c r="V65" s="42"/>
      <c r="W65" s="42"/>
      <c r="X65" s="69"/>
      <c r="Y65" s="70"/>
      <c r="Z65" s="74">
        <v>46220</v>
      </c>
    </row>
    <row r="66" spans="2:26" ht="23.4" x14ac:dyDescent="0.3">
      <c r="B66" s="29" t="s">
        <v>269</v>
      </c>
      <c r="C66" s="30" t="s">
        <v>270</v>
      </c>
      <c r="D66" s="47">
        <v>-13.518406476184687</v>
      </c>
      <c r="E66" s="47">
        <v>-71.929614477711567</v>
      </c>
      <c r="F66" s="72"/>
      <c r="G66" s="72"/>
      <c r="H66" s="100"/>
      <c r="I66" s="100"/>
      <c r="J66" s="50"/>
      <c r="K66" s="51"/>
      <c r="L66" s="52"/>
      <c r="M66" s="73"/>
      <c r="N66" s="53"/>
      <c r="O66" s="54"/>
      <c r="P66" s="61"/>
      <c r="Q66" s="61"/>
      <c r="R66" s="62"/>
      <c r="S66" s="62"/>
      <c r="T66" s="57">
        <v>103</v>
      </c>
      <c r="U66" s="41">
        <v>14094</v>
      </c>
      <c r="V66" s="42" t="s">
        <v>271</v>
      </c>
      <c r="W66" s="42" t="s">
        <v>272</v>
      </c>
      <c r="X66" s="69"/>
      <c r="Y66" s="70"/>
      <c r="Z66" s="74">
        <v>46220</v>
      </c>
    </row>
    <row r="67" spans="2:26" ht="23.4" x14ac:dyDescent="0.3">
      <c r="B67" s="46" t="s">
        <v>273</v>
      </c>
      <c r="C67" s="30" t="s">
        <v>274</v>
      </c>
      <c r="D67" s="47">
        <v>-13.523455691550632</v>
      </c>
      <c r="E67" s="47">
        <v>-71.92957468640752</v>
      </c>
      <c r="F67" s="72"/>
      <c r="G67" s="72"/>
      <c r="H67" s="100"/>
      <c r="I67" s="100"/>
      <c r="J67" s="50"/>
      <c r="K67" s="51"/>
      <c r="L67" s="52"/>
      <c r="M67" s="73"/>
      <c r="N67" s="104"/>
      <c r="O67" s="105"/>
      <c r="P67" s="61"/>
      <c r="Q67" s="61"/>
      <c r="R67" s="62"/>
      <c r="S67" s="62"/>
      <c r="T67" s="57"/>
      <c r="U67" s="41"/>
      <c r="V67" s="42"/>
      <c r="W67" s="42"/>
      <c r="X67" s="58">
        <v>40</v>
      </c>
      <c r="Y67" s="59">
        <v>89</v>
      </c>
      <c r="Z67" s="74">
        <v>46225</v>
      </c>
    </row>
    <row r="68" spans="2:26" ht="23.4" x14ac:dyDescent="0.3">
      <c r="B68" s="29" t="s">
        <v>275</v>
      </c>
      <c r="C68" s="30" t="s">
        <v>276</v>
      </c>
      <c r="D68" s="47">
        <v>-13.525434442458554</v>
      </c>
      <c r="E68" s="47">
        <v>-71.92950658380947</v>
      </c>
      <c r="F68" s="72" t="s">
        <v>277</v>
      </c>
      <c r="G68" s="72"/>
      <c r="H68" s="100"/>
      <c r="I68" s="100"/>
      <c r="J68" s="50"/>
      <c r="K68" s="51"/>
      <c r="L68" s="52"/>
      <c r="M68" s="73"/>
      <c r="N68" s="104"/>
      <c r="O68" s="105"/>
      <c r="P68" s="61"/>
      <c r="Q68" s="61"/>
      <c r="R68" s="62"/>
      <c r="S68" s="62"/>
      <c r="T68" s="57">
        <v>105</v>
      </c>
      <c r="U68" s="41">
        <v>14096</v>
      </c>
      <c r="V68" s="42" t="s">
        <v>278</v>
      </c>
      <c r="W68" s="42" t="s">
        <v>279</v>
      </c>
      <c r="X68" s="69"/>
      <c r="Y68" s="70"/>
      <c r="Z68" s="74">
        <v>46212</v>
      </c>
    </row>
    <row r="69" spans="2:26" ht="23.4" x14ac:dyDescent="0.3">
      <c r="B69" s="168" t="s">
        <v>280</v>
      </c>
      <c r="C69" s="151" t="s">
        <v>281</v>
      </c>
      <c r="D69" s="78">
        <v>-13.526669456174286</v>
      </c>
      <c r="E69" s="78">
        <v>-71.925847898725337</v>
      </c>
      <c r="F69" s="152"/>
      <c r="G69" s="152"/>
      <c r="H69" s="169"/>
      <c r="I69" s="169"/>
      <c r="J69" s="76"/>
      <c r="K69" s="154"/>
      <c r="L69" s="155"/>
      <c r="M69" s="156"/>
      <c r="N69" s="157"/>
      <c r="O69" s="158"/>
      <c r="P69" s="159"/>
      <c r="Q69" s="159"/>
      <c r="R69" s="160"/>
      <c r="S69" s="160"/>
      <c r="T69" s="170">
        <v>104</v>
      </c>
      <c r="U69" s="171">
        <v>14095</v>
      </c>
      <c r="V69" s="172" t="s">
        <v>282</v>
      </c>
      <c r="W69" s="172" t="s">
        <v>283</v>
      </c>
      <c r="X69" s="164"/>
      <c r="Y69" s="165"/>
      <c r="Z69" s="166"/>
    </row>
    <row r="70" spans="2:26" ht="23.4" x14ac:dyDescent="0.3">
      <c r="B70" s="29" t="s">
        <v>284</v>
      </c>
      <c r="C70" s="30" t="s">
        <v>285</v>
      </c>
      <c r="D70" s="47">
        <v>-13.52542414817524</v>
      </c>
      <c r="E70" s="47">
        <v>-71.924983468837411</v>
      </c>
      <c r="F70" s="72" t="s">
        <v>286</v>
      </c>
      <c r="G70" s="72"/>
      <c r="H70" s="100"/>
      <c r="I70" s="100"/>
      <c r="J70" s="50"/>
      <c r="K70" s="51"/>
      <c r="L70" s="52"/>
      <c r="M70" s="73"/>
      <c r="N70" s="53"/>
      <c r="O70" s="54"/>
      <c r="P70" s="61"/>
      <c r="Q70" s="61"/>
      <c r="R70" s="62"/>
      <c r="S70" s="173"/>
      <c r="T70" s="174"/>
      <c r="U70" s="175"/>
      <c r="V70" s="176"/>
      <c r="W70" s="176"/>
      <c r="X70" s="177">
        <v>41</v>
      </c>
      <c r="Y70" s="59">
        <v>90</v>
      </c>
      <c r="Z70" s="74">
        <v>46225</v>
      </c>
    </row>
    <row r="71" spans="2:26" ht="23.4" x14ac:dyDescent="0.3">
      <c r="B71" s="46" t="s">
        <v>287</v>
      </c>
      <c r="C71" s="30" t="s">
        <v>288</v>
      </c>
      <c r="D71" s="47">
        <v>-13.532460221525421</v>
      </c>
      <c r="E71" s="47">
        <v>-71.926500211522395</v>
      </c>
      <c r="F71" s="72"/>
      <c r="G71" s="72"/>
      <c r="H71" s="49"/>
      <c r="I71" s="49"/>
      <c r="J71" s="50"/>
      <c r="K71" s="51" t="s">
        <v>289</v>
      </c>
      <c r="L71" s="52">
        <v>16</v>
      </c>
      <c r="M71" s="73">
        <v>16</v>
      </c>
      <c r="N71" s="53" t="s">
        <v>290</v>
      </c>
      <c r="O71" s="54" t="s">
        <v>291</v>
      </c>
      <c r="P71" s="61"/>
      <c r="Q71" s="61"/>
      <c r="R71" s="62"/>
      <c r="S71" s="62"/>
      <c r="T71" s="67"/>
      <c r="U71" s="68"/>
      <c r="V71" s="178"/>
      <c r="W71" s="178"/>
      <c r="X71" s="58">
        <v>42</v>
      </c>
      <c r="Y71" s="59">
        <v>91</v>
      </c>
      <c r="Z71" s="74">
        <v>46182</v>
      </c>
    </row>
    <row r="72" spans="2:26" ht="23.4" x14ac:dyDescent="0.3">
      <c r="B72" s="29" t="s">
        <v>292</v>
      </c>
      <c r="C72" s="30" t="s">
        <v>293</v>
      </c>
      <c r="D72" s="47">
        <v>-13.534519645873157</v>
      </c>
      <c r="E72" s="47">
        <v>-71.92571306879033</v>
      </c>
      <c r="F72" s="72"/>
      <c r="G72" s="72"/>
      <c r="H72" s="49"/>
      <c r="I72" s="49"/>
      <c r="J72" s="50"/>
      <c r="K72" s="51"/>
      <c r="L72" s="52"/>
      <c r="M72" s="73"/>
      <c r="N72" s="53"/>
      <c r="O72" s="54"/>
      <c r="P72" s="61"/>
      <c r="Q72" s="61"/>
      <c r="R72" s="62"/>
      <c r="S72" s="62"/>
      <c r="T72" s="57"/>
      <c r="U72" s="41"/>
      <c r="V72" s="42"/>
      <c r="W72" s="42"/>
      <c r="X72" s="58">
        <v>43</v>
      </c>
      <c r="Y72" s="59">
        <v>92</v>
      </c>
      <c r="Z72" s="74">
        <v>46182</v>
      </c>
    </row>
    <row r="73" spans="2:26" ht="23.4" x14ac:dyDescent="0.3">
      <c r="B73" s="46" t="s">
        <v>294</v>
      </c>
      <c r="C73" s="30" t="s">
        <v>295</v>
      </c>
      <c r="D73" s="47">
        <v>-13.53164147</v>
      </c>
      <c r="E73" s="47">
        <v>-71.927600299999995</v>
      </c>
      <c r="F73" s="72"/>
      <c r="G73" s="72"/>
      <c r="H73" s="49"/>
      <c r="I73" s="49"/>
      <c r="J73" s="50"/>
      <c r="K73" s="51" t="s">
        <v>296</v>
      </c>
      <c r="L73" s="52">
        <v>17</v>
      </c>
      <c r="M73" s="73">
        <v>17</v>
      </c>
      <c r="N73" s="53" t="s">
        <v>297</v>
      </c>
      <c r="O73" s="54" t="s">
        <v>298</v>
      </c>
      <c r="P73" s="61"/>
      <c r="Q73" s="61"/>
      <c r="R73" s="62"/>
      <c r="S73" s="62"/>
      <c r="T73" s="57"/>
      <c r="U73" s="41"/>
      <c r="V73" s="42"/>
      <c r="W73" s="42"/>
      <c r="X73" s="58">
        <v>44</v>
      </c>
      <c r="Y73" s="59">
        <v>93</v>
      </c>
      <c r="Z73" s="74">
        <v>46208</v>
      </c>
    </row>
    <row r="74" spans="2:26" ht="23.4" x14ac:dyDescent="0.3">
      <c r="B74" s="29" t="s">
        <v>299</v>
      </c>
      <c r="C74" s="30" t="s">
        <v>300</v>
      </c>
      <c r="D74" s="47">
        <v>-13.535840514146063</v>
      </c>
      <c r="E74" s="47">
        <v>-71.924750730120977</v>
      </c>
      <c r="F74" s="72"/>
      <c r="G74" s="72"/>
      <c r="H74" s="49"/>
      <c r="I74" s="49"/>
      <c r="J74" s="50"/>
      <c r="K74" s="51"/>
      <c r="L74" s="52"/>
      <c r="M74" s="73"/>
      <c r="N74" s="53"/>
      <c r="O74" s="54"/>
      <c r="P74" s="61"/>
      <c r="Q74" s="61"/>
      <c r="R74" s="62"/>
      <c r="S74" s="62"/>
      <c r="T74" s="57"/>
      <c r="U74" s="41"/>
      <c r="V74" s="42"/>
      <c r="W74" s="42"/>
      <c r="X74" s="58">
        <v>45</v>
      </c>
      <c r="Y74" s="59">
        <v>94</v>
      </c>
      <c r="Z74" s="74">
        <v>46182</v>
      </c>
    </row>
    <row r="75" spans="2:26" ht="25.2" customHeight="1" x14ac:dyDescent="0.3">
      <c r="B75" s="46" t="s">
        <v>301</v>
      </c>
      <c r="C75" s="30" t="s">
        <v>302</v>
      </c>
      <c r="D75" s="47">
        <v>-13.53151019306169</v>
      </c>
      <c r="E75" s="47">
        <v>-71.932811700084642</v>
      </c>
      <c r="F75" s="72"/>
      <c r="G75" s="72"/>
      <c r="H75" s="49"/>
      <c r="I75" s="49"/>
      <c r="J75" s="50"/>
      <c r="K75" s="51" t="s">
        <v>303</v>
      </c>
      <c r="L75" s="52">
        <v>18</v>
      </c>
      <c r="M75" s="73">
        <v>18</v>
      </c>
      <c r="N75" s="53" t="s">
        <v>304</v>
      </c>
      <c r="O75" s="54" t="s">
        <v>305</v>
      </c>
      <c r="P75" s="61"/>
      <c r="Q75" s="61"/>
      <c r="R75" s="62"/>
      <c r="S75" s="62"/>
      <c r="T75" s="57">
        <v>106</v>
      </c>
      <c r="U75" s="41">
        <v>14097</v>
      </c>
      <c r="V75" s="42" t="s">
        <v>306</v>
      </c>
      <c r="W75" s="42" t="s">
        <v>307</v>
      </c>
      <c r="X75" s="69"/>
      <c r="Y75" s="70"/>
      <c r="Z75" s="101">
        <v>46172</v>
      </c>
    </row>
    <row r="76" spans="2:26" ht="23.4" x14ac:dyDescent="0.3">
      <c r="B76" s="75" t="s">
        <v>308</v>
      </c>
      <c r="C76" s="65" t="s">
        <v>309</v>
      </c>
      <c r="D76" s="66">
        <v>-13.532104811988555</v>
      </c>
      <c r="E76" s="66">
        <v>-71.929855892658296</v>
      </c>
      <c r="F76" s="72"/>
      <c r="G76" s="72"/>
      <c r="H76" s="49"/>
      <c r="I76" s="49"/>
      <c r="J76" s="50"/>
      <c r="K76" s="51"/>
      <c r="L76" s="52"/>
      <c r="M76" s="73"/>
      <c r="N76" s="53"/>
      <c r="O76" s="54"/>
      <c r="P76" s="61"/>
      <c r="Q76" s="61"/>
      <c r="R76" s="62"/>
      <c r="S76" s="62"/>
      <c r="T76" s="57"/>
      <c r="U76" s="41"/>
      <c r="V76" s="42"/>
      <c r="W76" s="42"/>
      <c r="X76" s="58">
        <v>46</v>
      </c>
      <c r="Y76" s="59">
        <v>95</v>
      </c>
      <c r="Z76" s="74">
        <v>46181</v>
      </c>
    </row>
    <row r="77" spans="2:26" ht="23.4" x14ac:dyDescent="0.3">
      <c r="B77" s="46" t="s">
        <v>310</v>
      </c>
      <c r="C77" s="30" t="s">
        <v>311</v>
      </c>
      <c r="D77" s="47">
        <v>-13.532223499876947</v>
      </c>
      <c r="E77" s="47">
        <v>-71.92820502504054</v>
      </c>
      <c r="F77" s="72"/>
      <c r="G77" s="72"/>
      <c r="H77" s="49"/>
      <c r="I77" s="49"/>
      <c r="J77" s="50"/>
      <c r="K77" s="51"/>
      <c r="L77" s="52"/>
      <c r="M77" s="73"/>
      <c r="N77" s="53"/>
      <c r="O77" s="54"/>
      <c r="P77" s="61"/>
      <c r="Q77" s="61"/>
      <c r="R77" s="62"/>
      <c r="S77" s="62"/>
      <c r="T77" s="57"/>
      <c r="U77" s="41"/>
      <c r="V77" s="42"/>
      <c r="W77" s="42"/>
      <c r="X77" s="58">
        <v>47</v>
      </c>
      <c r="Y77" s="59">
        <v>96</v>
      </c>
      <c r="Z77" s="101">
        <v>46183</v>
      </c>
    </row>
    <row r="78" spans="2:26" ht="23.4" x14ac:dyDescent="0.3">
      <c r="B78" s="29" t="s">
        <v>312</v>
      </c>
      <c r="C78" s="30" t="s">
        <v>313</v>
      </c>
      <c r="D78" s="47">
        <v>-13.53422745177744</v>
      </c>
      <c r="E78" s="47">
        <v>-71.930611117447086</v>
      </c>
      <c r="F78" s="72"/>
      <c r="G78" s="72"/>
      <c r="H78" s="49"/>
      <c r="I78" s="49"/>
      <c r="J78" s="50"/>
      <c r="K78" s="51"/>
      <c r="L78" s="52"/>
      <c r="M78" s="73"/>
      <c r="N78" s="53"/>
      <c r="O78" s="54"/>
      <c r="P78" s="61"/>
      <c r="Q78" s="61"/>
      <c r="R78" s="62"/>
      <c r="S78" s="62"/>
      <c r="T78" s="57"/>
      <c r="U78" s="41"/>
      <c r="V78" s="42"/>
      <c r="W78" s="42"/>
      <c r="X78" s="58">
        <v>48</v>
      </c>
      <c r="Y78" s="59">
        <v>97</v>
      </c>
      <c r="Z78" s="74">
        <v>46170</v>
      </c>
    </row>
    <row r="79" spans="2:26" ht="23.4" x14ac:dyDescent="0.3">
      <c r="B79" s="46" t="s">
        <v>314</v>
      </c>
      <c r="C79" s="30" t="s">
        <v>315</v>
      </c>
      <c r="D79" s="47">
        <v>-13.535466408476811</v>
      </c>
      <c r="E79" s="47">
        <v>-71.928161622157418</v>
      </c>
      <c r="F79" s="72"/>
      <c r="G79" s="72"/>
      <c r="H79" s="49"/>
      <c r="I79" s="49"/>
      <c r="J79" s="50"/>
      <c r="K79" s="51"/>
      <c r="L79" s="52"/>
      <c r="M79" s="73"/>
      <c r="N79" s="53"/>
      <c r="O79" s="54"/>
      <c r="P79" s="61"/>
      <c r="Q79" s="61"/>
      <c r="R79" s="62"/>
      <c r="S79" s="62"/>
      <c r="T79" s="57"/>
      <c r="U79" s="41"/>
      <c r="V79" s="42"/>
      <c r="W79" s="42"/>
      <c r="X79" s="58">
        <v>49</v>
      </c>
      <c r="Y79" s="59">
        <v>98</v>
      </c>
      <c r="Z79" s="179">
        <v>46183</v>
      </c>
    </row>
    <row r="80" spans="2:26" ht="23.4" x14ac:dyDescent="0.3">
      <c r="B80" s="180" t="s">
        <v>316</v>
      </c>
      <c r="C80" s="181" t="s">
        <v>317</v>
      </c>
      <c r="D80" s="167">
        <v>-13.535281690687894</v>
      </c>
      <c r="E80" s="167">
        <v>-71.930051708334375</v>
      </c>
      <c r="F80" s="182"/>
      <c r="G80" s="182"/>
      <c r="H80" s="183"/>
      <c r="I80" s="183"/>
      <c r="J80" s="184"/>
      <c r="K80" s="185"/>
      <c r="L80" s="186"/>
      <c r="M80" s="187"/>
      <c r="N80" s="188"/>
      <c r="O80" s="189"/>
      <c r="P80" s="186"/>
      <c r="Q80" s="186"/>
      <c r="R80" s="189"/>
      <c r="S80" s="189"/>
      <c r="T80" s="190">
        <v>107</v>
      </c>
      <c r="U80" s="184">
        <v>14098</v>
      </c>
      <c r="V80" s="191" t="s">
        <v>318</v>
      </c>
      <c r="W80" s="191" t="s">
        <v>319</v>
      </c>
      <c r="X80" s="192"/>
      <c r="Y80" s="193"/>
      <c r="Z80" s="45">
        <v>46188</v>
      </c>
    </row>
    <row r="81" spans="2:26" ht="23.4" x14ac:dyDescent="0.3">
      <c r="B81" s="46" t="s">
        <v>320</v>
      </c>
      <c r="C81" s="30" t="s">
        <v>321</v>
      </c>
      <c r="D81" s="47">
        <v>-13.534358585169008</v>
      </c>
      <c r="E81" s="47">
        <v>-71.929440396947328</v>
      </c>
      <c r="F81" s="72"/>
      <c r="G81" s="72"/>
      <c r="H81" s="100"/>
      <c r="I81" s="100"/>
      <c r="J81" s="50"/>
      <c r="K81" s="51"/>
      <c r="L81" s="52"/>
      <c r="M81" s="73"/>
      <c r="N81" s="104"/>
      <c r="O81" s="105"/>
      <c r="P81" s="61"/>
      <c r="Q81" s="61"/>
      <c r="R81" s="62"/>
      <c r="S81" s="62"/>
      <c r="T81" s="57"/>
      <c r="U81" s="41"/>
      <c r="V81" s="42"/>
      <c r="W81" s="42"/>
      <c r="X81" s="58">
        <v>50</v>
      </c>
      <c r="Y81" s="59">
        <v>99</v>
      </c>
      <c r="Z81" s="45">
        <v>46170</v>
      </c>
    </row>
    <row r="82" spans="2:26" ht="23.4" x14ac:dyDescent="0.3">
      <c r="B82" s="29" t="s">
        <v>322</v>
      </c>
      <c r="C82" s="30" t="s">
        <v>323</v>
      </c>
      <c r="D82" s="47">
        <v>-13.533262158180101</v>
      </c>
      <c r="E82" s="47">
        <v>-71.932057774268216</v>
      </c>
      <c r="F82" s="72"/>
      <c r="G82" s="72"/>
      <c r="H82" s="100"/>
      <c r="I82" s="100"/>
      <c r="J82" s="50"/>
      <c r="K82" s="51"/>
      <c r="L82" s="52"/>
      <c r="M82" s="73"/>
      <c r="N82" s="104"/>
      <c r="O82" s="105"/>
      <c r="P82" s="61"/>
      <c r="Q82" s="61"/>
      <c r="R82" s="62"/>
      <c r="S82" s="62"/>
      <c r="T82" s="57"/>
      <c r="U82" s="41"/>
      <c r="V82" s="42"/>
      <c r="W82" s="42"/>
      <c r="X82" s="58">
        <v>51</v>
      </c>
      <c r="Y82" s="59">
        <v>100</v>
      </c>
      <c r="Z82" s="74">
        <v>46181</v>
      </c>
    </row>
    <row r="83" spans="2:26" ht="23.4" x14ac:dyDescent="0.3">
      <c r="B83" s="46" t="s">
        <v>324</v>
      </c>
      <c r="C83" s="30" t="s">
        <v>325</v>
      </c>
      <c r="D83" s="47">
        <v>-13.532882456789004</v>
      </c>
      <c r="E83" s="47">
        <v>-71.93054849460907</v>
      </c>
      <c r="F83" s="72"/>
      <c r="G83" s="72"/>
      <c r="H83" s="100"/>
      <c r="I83" s="100"/>
      <c r="J83" s="50"/>
      <c r="K83" s="51"/>
      <c r="L83" s="52"/>
      <c r="M83" s="73"/>
      <c r="N83" s="104"/>
      <c r="O83" s="105"/>
      <c r="P83" s="61"/>
      <c r="Q83" s="61"/>
      <c r="R83" s="62"/>
      <c r="S83" s="62"/>
      <c r="T83" s="57"/>
      <c r="U83" s="41"/>
      <c r="V83" s="42"/>
      <c r="W83" s="42"/>
      <c r="X83" s="58">
        <v>52</v>
      </c>
      <c r="Y83" s="59">
        <v>101</v>
      </c>
      <c r="Z83" s="74">
        <v>46181</v>
      </c>
    </row>
    <row r="84" spans="2:26" ht="23.4" x14ac:dyDescent="0.3">
      <c r="B84" s="29" t="s">
        <v>326</v>
      </c>
      <c r="C84" s="30" t="s">
        <v>327</v>
      </c>
      <c r="D84" s="47">
        <v>-13.53437171035702</v>
      </c>
      <c r="E84" s="47">
        <v>-71.932172906960005</v>
      </c>
      <c r="F84" s="72"/>
      <c r="G84" s="72"/>
      <c r="H84" s="100"/>
      <c r="I84" s="100"/>
      <c r="J84" s="50"/>
      <c r="K84" s="51"/>
      <c r="L84" s="52"/>
      <c r="M84" s="73"/>
      <c r="N84" s="104"/>
      <c r="O84" s="105"/>
      <c r="P84" s="61"/>
      <c r="Q84" s="61"/>
      <c r="R84" s="62"/>
      <c r="S84" s="62"/>
      <c r="T84" s="57"/>
      <c r="U84" s="41"/>
      <c r="V84" s="42"/>
      <c r="W84" s="42"/>
      <c r="X84" s="58">
        <v>53</v>
      </c>
      <c r="Y84" s="59">
        <v>102</v>
      </c>
      <c r="Z84" s="74">
        <v>46170</v>
      </c>
    </row>
    <row r="85" spans="2:26" ht="23.4" x14ac:dyDescent="0.3">
      <c r="B85" s="46" t="s">
        <v>328</v>
      </c>
      <c r="C85" s="30" t="s">
        <v>329</v>
      </c>
      <c r="D85" s="47">
        <v>-13.531523</v>
      </c>
      <c r="E85" s="47">
        <v>-71.916307000000003</v>
      </c>
      <c r="F85" s="72"/>
      <c r="G85" s="72"/>
      <c r="H85" s="49"/>
      <c r="I85" s="49"/>
      <c r="J85" s="50"/>
      <c r="K85" s="51"/>
      <c r="L85" s="52"/>
      <c r="M85" s="73"/>
      <c r="N85" s="53"/>
      <c r="O85" s="54"/>
      <c r="P85" s="61"/>
      <c r="Q85" s="61"/>
      <c r="R85" s="62"/>
      <c r="S85" s="62"/>
      <c r="T85" s="57"/>
      <c r="U85" s="41"/>
      <c r="V85" s="42"/>
      <c r="W85" s="42"/>
      <c r="X85" s="58">
        <v>54</v>
      </c>
      <c r="Y85" s="59">
        <v>103</v>
      </c>
      <c r="Z85" s="74">
        <v>46185</v>
      </c>
    </row>
    <row r="86" spans="2:26" ht="23.4" x14ac:dyDescent="0.3">
      <c r="B86" s="29" t="s">
        <v>330</v>
      </c>
      <c r="C86" s="30" t="s">
        <v>331</v>
      </c>
      <c r="D86" s="47">
        <v>-13.531897000000001</v>
      </c>
      <c r="E86" s="47">
        <v>-71.914277999999996</v>
      </c>
      <c r="F86" s="72"/>
      <c r="G86" s="72"/>
      <c r="H86" s="49"/>
      <c r="I86" s="49"/>
      <c r="J86" s="50"/>
      <c r="K86" s="51" t="s">
        <v>332</v>
      </c>
      <c r="L86" s="52">
        <v>19</v>
      </c>
      <c r="M86" s="73">
        <v>19</v>
      </c>
      <c r="N86" s="53" t="s">
        <v>333</v>
      </c>
      <c r="O86" s="54" t="s">
        <v>334</v>
      </c>
      <c r="P86" s="61"/>
      <c r="Q86" s="61"/>
      <c r="R86" s="62"/>
      <c r="S86" s="62"/>
      <c r="T86" s="57">
        <v>108</v>
      </c>
      <c r="U86" s="41">
        <v>14099</v>
      </c>
      <c r="V86" s="42" t="s">
        <v>335</v>
      </c>
      <c r="W86" s="42" t="s">
        <v>336</v>
      </c>
      <c r="X86" s="69"/>
      <c r="Y86" s="70"/>
      <c r="Z86" s="101">
        <v>46185</v>
      </c>
    </row>
    <row r="87" spans="2:26" ht="23.4" x14ac:dyDescent="0.3">
      <c r="B87" s="46" t="s">
        <v>337</v>
      </c>
      <c r="C87" s="30" t="s">
        <v>338</v>
      </c>
      <c r="D87" s="47">
        <v>-13.533034158163611</v>
      </c>
      <c r="E87" s="47">
        <v>-71.91447932133957</v>
      </c>
      <c r="F87" s="72"/>
      <c r="G87" s="72"/>
      <c r="H87" s="49"/>
      <c r="I87" s="49"/>
      <c r="J87" s="50"/>
      <c r="K87" s="51"/>
      <c r="L87" s="52"/>
      <c r="M87" s="73"/>
      <c r="N87" s="53"/>
      <c r="O87" s="54"/>
      <c r="P87" s="61"/>
      <c r="Q87" s="61"/>
      <c r="R87" s="62"/>
      <c r="S87" s="62"/>
      <c r="T87" s="57"/>
      <c r="U87" s="41"/>
      <c r="V87" s="42"/>
      <c r="W87" s="42"/>
      <c r="X87" s="58">
        <v>55</v>
      </c>
      <c r="Y87" s="59">
        <v>104</v>
      </c>
      <c r="Z87" s="74">
        <v>46185</v>
      </c>
    </row>
    <row r="88" spans="2:26" ht="23.4" x14ac:dyDescent="0.3">
      <c r="B88" s="29" t="s">
        <v>339</v>
      </c>
      <c r="C88" s="30" t="s">
        <v>340</v>
      </c>
      <c r="D88" s="47">
        <v>-13.534803254918668</v>
      </c>
      <c r="E88" s="47">
        <v>-71.920768729241459</v>
      </c>
      <c r="F88" s="72"/>
      <c r="G88" s="72"/>
      <c r="H88" s="49"/>
      <c r="I88" s="49"/>
      <c r="J88" s="50"/>
      <c r="K88" s="51"/>
      <c r="L88" s="52"/>
      <c r="M88" s="73"/>
      <c r="N88" s="53"/>
      <c r="O88" s="54"/>
      <c r="P88" s="61"/>
      <c r="Q88" s="61"/>
      <c r="R88" s="62"/>
      <c r="S88" s="62"/>
      <c r="T88" s="57"/>
      <c r="U88" s="41"/>
      <c r="V88" s="42"/>
      <c r="W88" s="42"/>
      <c r="X88" s="58">
        <v>56</v>
      </c>
      <c r="Y88" s="59">
        <v>105</v>
      </c>
      <c r="Z88" s="74">
        <v>46166</v>
      </c>
    </row>
    <row r="89" spans="2:26" ht="23.4" x14ac:dyDescent="0.3">
      <c r="B89" s="64" t="s">
        <v>341</v>
      </c>
      <c r="C89" s="65" t="s">
        <v>342</v>
      </c>
      <c r="D89" s="66">
        <v>-13.534752539937148</v>
      </c>
      <c r="E89" s="66">
        <v>-71.922789697410593</v>
      </c>
      <c r="F89" s="72"/>
      <c r="G89" s="72"/>
      <c r="H89" s="49"/>
      <c r="I89" s="49"/>
      <c r="J89" s="50"/>
      <c r="K89" s="51"/>
      <c r="L89" s="52"/>
      <c r="M89" s="73"/>
      <c r="N89" s="53"/>
      <c r="O89" s="54"/>
      <c r="P89" s="61"/>
      <c r="Q89" s="61"/>
      <c r="R89" s="62"/>
      <c r="S89" s="62"/>
      <c r="T89" s="57"/>
      <c r="U89" s="41"/>
      <c r="V89" s="42"/>
      <c r="W89" s="42"/>
      <c r="X89" s="58">
        <v>57</v>
      </c>
      <c r="Y89" s="59">
        <v>106</v>
      </c>
      <c r="Z89" s="74">
        <v>46182</v>
      </c>
    </row>
    <row r="90" spans="2:26" ht="23.4" x14ac:dyDescent="0.3">
      <c r="B90" s="29" t="s">
        <v>343</v>
      </c>
      <c r="C90" s="30" t="s">
        <v>344</v>
      </c>
      <c r="D90" s="47">
        <v>-13.533401956057123</v>
      </c>
      <c r="E90" s="47">
        <v>-71.922431659441799</v>
      </c>
      <c r="F90" s="72"/>
      <c r="G90" s="72"/>
      <c r="H90" s="49"/>
      <c r="I90" s="49"/>
      <c r="J90" s="50"/>
      <c r="K90" s="51"/>
      <c r="L90" s="52"/>
      <c r="M90" s="73"/>
      <c r="N90" s="53"/>
      <c r="O90" s="54"/>
      <c r="P90" s="61"/>
      <c r="Q90" s="61"/>
      <c r="R90" s="62"/>
      <c r="S90" s="62"/>
      <c r="T90" s="57"/>
      <c r="U90" s="41"/>
      <c r="V90" s="42"/>
      <c r="W90" s="42"/>
      <c r="X90" s="58">
        <v>58</v>
      </c>
      <c r="Y90" s="59">
        <v>107</v>
      </c>
      <c r="Z90" s="74">
        <v>46182</v>
      </c>
    </row>
    <row r="91" spans="2:26" ht="23.4" x14ac:dyDescent="0.3">
      <c r="B91" s="46" t="s">
        <v>345</v>
      </c>
      <c r="C91" s="30" t="s">
        <v>346</v>
      </c>
      <c r="D91" s="47">
        <v>-13.533675118</v>
      </c>
      <c r="E91" s="47">
        <v>-71.920625025000007</v>
      </c>
      <c r="F91" s="72"/>
      <c r="G91" s="72"/>
      <c r="H91" s="49"/>
      <c r="I91" s="49"/>
      <c r="J91" s="50"/>
      <c r="K91" s="51"/>
      <c r="L91" s="52"/>
      <c r="M91" s="73"/>
      <c r="N91" s="53"/>
      <c r="O91" s="54"/>
      <c r="P91" s="61"/>
      <c r="Q91" s="61"/>
      <c r="R91" s="62"/>
      <c r="S91" s="62"/>
      <c r="T91" s="57"/>
      <c r="U91" s="41"/>
      <c r="V91" s="42"/>
      <c r="W91" s="42"/>
      <c r="X91" s="58">
        <v>59</v>
      </c>
      <c r="Y91" s="59">
        <v>108</v>
      </c>
      <c r="Z91" s="74">
        <v>46166</v>
      </c>
    </row>
    <row r="92" spans="2:26" ht="23.4" x14ac:dyDescent="0.3">
      <c r="B92" s="75" t="s">
        <v>347</v>
      </c>
      <c r="C92" s="65" t="s">
        <v>348</v>
      </c>
      <c r="D92" s="66">
        <v>-13.533741365783515</v>
      </c>
      <c r="E92" s="66">
        <v>-71.918891114882499</v>
      </c>
      <c r="F92" s="72"/>
      <c r="G92" s="72"/>
      <c r="H92" s="49"/>
      <c r="I92" s="49"/>
      <c r="J92" s="50"/>
      <c r="K92" s="51"/>
      <c r="L92" s="52"/>
      <c r="M92" s="73"/>
      <c r="N92" s="53"/>
      <c r="O92" s="54"/>
      <c r="P92" s="61"/>
      <c r="Q92" s="61"/>
      <c r="R92" s="62"/>
      <c r="S92" s="62"/>
      <c r="T92" s="57"/>
      <c r="U92" s="41"/>
      <c r="V92" s="42"/>
      <c r="W92" s="42"/>
      <c r="X92" s="58">
        <v>60</v>
      </c>
      <c r="Y92" s="59">
        <v>109</v>
      </c>
      <c r="Z92" s="74">
        <v>46166</v>
      </c>
    </row>
    <row r="93" spans="2:26" ht="23.4" x14ac:dyDescent="0.3">
      <c r="B93" s="46" t="s">
        <v>349</v>
      </c>
      <c r="C93" s="30" t="s">
        <v>350</v>
      </c>
      <c r="D93" s="47">
        <v>-13.533025582781882</v>
      </c>
      <c r="E93" s="47">
        <v>-71.919085466603448</v>
      </c>
      <c r="F93" s="72"/>
      <c r="G93" s="72"/>
      <c r="H93" s="49"/>
      <c r="I93" s="49"/>
      <c r="J93" s="50"/>
      <c r="K93" s="51"/>
      <c r="L93" s="52"/>
      <c r="M93" s="73"/>
      <c r="N93" s="53"/>
      <c r="O93" s="54"/>
      <c r="P93" s="61"/>
      <c r="Q93" s="61"/>
      <c r="R93" s="62"/>
      <c r="S93" s="62"/>
      <c r="T93" s="57"/>
      <c r="U93" s="41"/>
      <c r="V93" s="42"/>
      <c r="W93" s="42"/>
      <c r="X93" s="58">
        <v>61</v>
      </c>
      <c r="Y93" s="59">
        <v>110</v>
      </c>
      <c r="Z93" s="74">
        <v>46183</v>
      </c>
    </row>
    <row r="94" spans="2:26" ht="23.4" x14ac:dyDescent="0.3">
      <c r="B94" s="29" t="s">
        <v>351</v>
      </c>
      <c r="C94" s="30" t="s">
        <v>352</v>
      </c>
      <c r="D94" s="47">
        <v>-13.532527264669637</v>
      </c>
      <c r="E94" s="47">
        <v>-71.919993250671723</v>
      </c>
      <c r="F94" s="72"/>
      <c r="G94" s="72"/>
      <c r="H94" s="49"/>
      <c r="I94" s="49"/>
      <c r="J94" s="50"/>
      <c r="K94" s="51" t="s">
        <v>353</v>
      </c>
      <c r="L94" s="52">
        <v>20</v>
      </c>
      <c r="M94" s="73">
        <v>20</v>
      </c>
      <c r="N94" s="53" t="s">
        <v>354</v>
      </c>
      <c r="O94" s="54" t="s">
        <v>355</v>
      </c>
      <c r="P94" s="61"/>
      <c r="Q94" s="61"/>
      <c r="R94" s="62"/>
      <c r="S94" s="62"/>
      <c r="T94" s="57">
        <v>109</v>
      </c>
      <c r="U94" s="41"/>
      <c r="V94" s="42" t="s">
        <v>356</v>
      </c>
      <c r="W94" s="42" t="s">
        <v>357</v>
      </c>
      <c r="X94" s="69"/>
      <c r="Y94" s="70"/>
      <c r="Z94" s="74">
        <v>46183</v>
      </c>
    </row>
    <row r="95" spans="2:26" ht="23.4" x14ac:dyDescent="0.3">
      <c r="B95" s="46" t="s">
        <v>358</v>
      </c>
      <c r="C95" s="30" t="s">
        <v>359</v>
      </c>
      <c r="D95" s="47">
        <v>-13.533054519262695</v>
      </c>
      <c r="E95" s="47">
        <v>-71.924338216456562</v>
      </c>
      <c r="F95" s="72"/>
      <c r="G95" s="72"/>
      <c r="H95" s="49"/>
      <c r="I95" s="49"/>
      <c r="J95" s="50"/>
      <c r="K95" s="51"/>
      <c r="L95" s="52"/>
      <c r="M95" s="73"/>
      <c r="N95" s="53"/>
      <c r="O95" s="54"/>
      <c r="P95" s="61">
        <v>14</v>
      </c>
      <c r="Q95" s="61">
        <v>14016</v>
      </c>
      <c r="R95" s="62" t="s">
        <v>360</v>
      </c>
      <c r="S95" s="62" t="s">
        <v>361</v>
      </c>
      <c r="T95" s="57"/>
      <c r="U95" s="41"/>
      <c r="V95" s="42"/>
      <c r="W95" s="42"/>
      <c r="X95" s="69"/>
      <c r="Y95" s="70"/>
      <c r="Z95" s="74">
        <v>46182</v>
      </c>
    </row>
    <row r="96" spans="2:26" ht="23.4" x14ac:dyDescent="0.3">
      <c r="B96" s="29" t="s">
        <v>362</v>
      </c>
      <c r="C96" s="30" t="s">
        <v>363</v>
      </c>
      <c r="D96" s="47">
        <v>-13.534981764520149</v>
      </c>
      <c r="E96" s="47">
        <v>-71.912435280215931</v>
      </c>
      <c r="F96" s="72">
        <v>14565</v>
      </c>
      <c r="G96" s="72">
        <v>14</v>
      </c>
      <c r="H96" s="49" t="s">
        <v>364</v>
      </c>
      <c r="I96" s="49" t="s">
        <v>365</v>
      </c>
      <c r="J96" s="50">
        <v>2</v>
      </c>
      <c r="K96" s="51"/>
      <c r="L96" s="52"/>
      <c r="M96" s="73"/>
      <c r="N96" s="53"/>
      <c r="O96" s="54"/>
      <c r="P96" s="61"/>
      <c r="Q96" s="61"/>
      <c r="R96" s="62"/>
      <c r="S96" s="62"/>
      <c r="T96" s="57"/>
      <c r="U96" s="41"/>
      <c r="V96" s="42"/>
      <c r="W96" s="42"/>
      <c r="X96" s="58">
        <v>62</v>
      </c>
      <c r="Y96" s="59">
        <v>111</v>
      </c>
      <c r="Z96" s="74">
        <v>46185</v>
      </c>
    </row>
    <row r="97" spans="1:26" ht="23.4" x14ac:dyDescent="0.3">
      <c r="B97" s="194" t="s">
        <v>366</v>
      </c>
      <c r="C97" s="195" t="s">
        <v>367</v>
      </c>
      <c r="D97" s="196">
        <v>-13.528335570363655</v>
      </c>
      <c r="E97" s="196">
        <v>-71.914652890416775</v>
      </c>
      <c r="F97" s="72"/>
      <c r="G97" s="72"/>
      <c r="H97" s="49"/>
      <c r="I97" s="49"/>
      <c r="J97" s="50"/>
      <c r="K97" s="51"/>
      <c r="L97" s="52"/>
      <c r="M97" s="73"/>
      <c r="N97" s="53"/>
      <c r="O97" s="54"/>
      <c r="P97" s="61">
        <v>15</v>
      </c>
      <c r="Q97" s="61">
        <v>14017</v>
      </c>
      <c r="R97" s="62" t="s">
        <v>368</v>
      </c>
      <c r="S97" s="62" t="s">
        <v>369</v>
      </c>
      <c r="T97" s="57"/>
      <c r="U97" s="41"/>
      <c r="V97" s="42"/>
      <c r="W97" s="42" t="s">
        <v>69</v>
      </c>
      <c r="X97" s="69"/>
      <c r="Y97" s="70"/>
      <c r="Z97" s="74">
        <v>46210</v>
      </c>
    </row>
    <row r="98" spans="1:26" ht="23.4" x14ac:dyDescent="0.3">
      <c r="B98" s="29" t="s">
        <v>370</v>
      </c>
      <c r="C98" s="30" t="s">
        <v>371</v>
      </c>
      <c r="D98" s="47">
        <v>-13.520205038131161</v>
      </c>
      <c r="E98" s="47">
        <v>-71.914037045422177</v>
      </c>
      <c r="F98" s="72"/>
      <c r="G98" s="72"/>
      <c r="H98" s="49"/>
      <c r="I98" s="49"/>
      <c r="J98" s="50"/>
      <c r="K98" s="51"/>
      <c r="L98" s="52"/>
      <c r="M98" s="73"/>
      <c r="N98" s="53"/>
      <c r="O98" s="54"/>
      <c r="P98" s="61">
        <v>16</v>
      </c>
      <c r="Q98" s="61">
        <v>14018</v>
      </c>
      <c r="R98" s="62" t="s">
        <v>372</v>
      </c>
      <c r="S98" s="62" t="s">
        <v>373</v>
      </c>
      <c r="T98" s="57"/>
      <c r="U98" s="41"/>
      <c r="V98" s="42"/>
      <c r="W98" s="42"/>
      <c r="X98" s="69"/>
      <c r="Y98" s="70"/>
      <c r="Z98" s="74">
        <v>46211</v>
      </c>
    </row>
    <row r="99" spans="1:26" ht="23.4" x14ac:dyDescent="0.3">
      <c r="B99" s="197" t="s">
        <v>374</v>
      </c>
      <c r="C99" s="198" t="s">
        <v>367</v>
      </c>
      <c r="D99" s="199">
        <v>-13.522035544739293</v>
      </c>
      <c r="E99" s="199">
        <v>-71.917391536917364</v>
      </c>
      <c r="F99" s="72"/>
      <c r="G99" s="72"/>
      <c r="H99" s="49"/>
      <c r="I99" s="49"/>
      <c r="J99" s="50"/>
      <c r="K99" s="51"/>
      <c r="L99" s="52"/>
      <c r="M99" s="73"/>
      <c r="N99" s="53"/>
      <c r="O99" s="54"/>
      <c r="P99" s="61"/>
      <c r="Q99" s="61"/>
      <c r="R99" s="62"/>
      <c r="S99" s="62"/>
      <c r="T99" s="57"/>
      <c r="U99" s="41"/>
      <c r="V99" s="42"/>
      <c r="W99" s="42"/>
      <c r="X99" s="58">
        <v>63</v>
      </c>
      <c r="Y99" s="59">
        <v>112</v>
      </c>
      <c r="Z99" s="74">
        <v>46211</v>
      </c>
    </row>
    <row r="100" spans="1:26" ht="23.4" x14ac:dyDescent="0.3">
      <c r="B100" s="200" t="s">
        <v>375</v>
      </c>
      <c r="C100" s="201" t="s">
        <v>376</v>
      </c>
      <c r="D100" s="202">
        <v>-13.523965919651635</v>
      </c>
      <c r="E100" s="202">
        <v>-71.918375030013266</v>
      </c>
      <c r="F100" s="79"/>
      <c r="G100" s="79"/>
      <c r="H100" s="80"/>
      <c r="I100" s="80"/>
      <c r="J100" s="81"/>
      <c r="K100" s="82"/>
      <c r="L100" s="83"/>
      <c r="M100" s="203"/>
      <c r="N100" s="84"/>
      <c r="O100" s="85"/>
      <c r="P100" s="86">
        <v>17</v>
      </c>
      <c r="Q100" s="86">
        <v>14019</v>
      </c>
      <c r="R100" s="87" t="s">
        <v>377</v>
      </c>
      <c r="S100" s="87" t="s">
        <v>378</v>
      </c>
      <c r="T100" s="88"/>
      <c r="U100" s="89"/>
      <c r="V100" s="90"/>
      <c r="W100" s="90"/>
      <c r="X100" s="98"/>
      <c r="Y100" s="99"/>
      <c r="Z100" s="74">
        <v>46224</v>
      </c>
    </row>
    <row r="101" spans="1:26" ht="23.4" x14ac:dyDescent="0.3">
      <c r="B101" s="46" t="s">
        <v>379</v>
      </c>
      <c r="C101" s="30" t="s">
        <v>380</v>
      </c>
      <c r="D101" s="47">
        <v>-13.522107752586477</v>
      </c>
      <c r="E101" s="47">
        <v>-71.919718508748431</v>
      </c>
      <c r="F101" s="72"/>
      <c r="G101" s="72"/>
      <c r="H101" s="49"/>
      <c r="I101" s="49"/>
      <c r="J101" s="50"/>
      <c r="K101" s="51"/>
      <c r="L101" s="52"/>
      <c r="M101" s="73"/>
      <c r="N101" s="53"/>
      <c r="O101" s="54"/>
      <c r="P101" s="61"/>
      <c r="Q101" s="61"/>
      <c r="R101" s="62"/>
      <c r="S101" s="62"/>
      <c r="T101" s="57"/>
      <c r="U101" s="41"/>
      <c r="V101" s="42"/>
      <c r="W101" s="42"/>
      <c r="X101" s="58">
        <v>64</v>
      </c>
      <c r="Y101" s="59">
        <v>113</v>
      </c>
      <c r="Z101" s="74">
        <v>46212</v>
      </c>
    </row>
    <row r="102" spans="1:26" ht="23.4" x14ac:dyDescent="0.3">
      <c r="B102" s="29" t="s">
        <v>381</v>
      </c>
      <c r="C102" s="30" t="s">
        <v>382</v>
      </c>
      <c r="D102" s="47">
        <v>-13.519680810854874</v>
      </c>
      <c r="E102" s="47">
        <v>-71.918719737115438</v>
      </c>
      <c r="F102" s="72"/>
      <c r="G102" s="72"/>
      <c r="H102" s="49"/>
      <c r="I102" s="49"/>
      <c r="J102" s="50"/>
      <c r="K102" s="51"/>
      <c r="L102" s="52"/>
      <c r="M102" s="73"/>
      <c r="N102" s="53"/>
      <c r="O102" s="54"/>
      <c r="P102" s="61"/>
      <c r="Q102" s="61"/>
      <c r="R102" s="62"/>
      <c r="S102" s="62"/>
      <c r="T102" s="57"/>
      <c r="U102" s="41"/>
      <c r="V102" s="42"/>
      <c r="W102" s="42"/>
      <c r="X102" s="58">
        <v>65</v>
      </c>
      <c r="Y102" s="59">
        <v>114</v>
      </c>
      <c r="Z102" s="74">
        <v>46223</v>
      </c>
    </row>
    <row r="103" spans="1:26" ht="23.4" x14ac:dyDescent="0.3">
      <c r="B103" s="197" t="s">
        <v>383</v>
      </c>
      <c r="C103" s="198" t="s">
        <v>384</v>
      </c>
      <c r="D103" s="199">
        <v>-13.5196884322092</v>
      </c>
      <c r="E103" s="199">
        <v>-71.919718467793302</v>
      </c>
      <c r="F103" s="72"/>
      <c r="G103" s="72"/>
      <c r="H103" s="49"/>
      <c r="I103" s="49"/>
      <c r="J103" s="50"/>
      <c r="K103" s="51"/>
      <c r="L103" s="52"/>
      <c r="M103" s="73"/>
      <c r="N103" s="53"/>
      <c r="O103" s="54"/>
      <c r="P103" s="61"/>
      <c r="Q103" s="61"/>
      <c r="R103" s="62"/>
      <c r="S103" s="62"/>
      <c r="T103" s="57">
        <v>110</v>
      </c>
      <c r="U103" s="41"/>
      <c r="V103" s="42" t="s">
        <v>385</v>
      </c>
      <c r="W103" s="42" t="s">
        <v>386</v>
      </c>
      <c r="X103" s="69"/>
      <c r="Y103" s="70"/>
      <c r="Z103" s="74">
        <v>46221</v>
      </c>
    </row>
    <row r="104" spans="1:26" ht="23.4" x14ac:dyDescent="0.3">
      <c r="B104" s="204" t="s">
        <v>387</v>
      </c>
      <c r="C104" s="198" t="s">
        <v>388</v>
      </c>
      <c r="D104" s="199">
        <v>-13.517464641049827</v>
      </c>
      <c r="E104" s="199">
        <v>-71.920557271331234</v>
      </c>
      <c r="F104" s="72"/>
      <c r="G104" s="72"/>
      <c r="H104" s="49"/>
      <c r="I104" s="49"/>
      <c r="J104" s="50"/>
      <c r="K104" s="51"/>
      <c r="L104" s="52"/>
      <c r="M104" s="73"/>
      <c r="N104" s="53"/>
      <c r="O104" s="54"/>
      <c r="P104" s="61"/>
      <c r="Q104" s="61"/>
      <c r="R104" s="62"/>
      <c r="S104" s="62"/>
      <c r="T104" s="57">
        <v>111</v>
      </c>
      <c r="U104" s="41"/>
      <c r="V104" s="42" t="s">
        <v>389</v>
      </c>
      <c r="W104" s="42" t="s">
        <v>390</v>
      </c>
      <c r="X104" s="69"/>
      <c r="Y104" s="70"/>
      <c r="Z104" s="74">
        <v>46223</v>
      </c>
    </row>
    <row r="105" spans="1:26" ht="23.4" x14ac:dyDescent="0.3">
      <c r="B105" s="197" t="s">
        <v>391</v>
      </c>
      <c r="C105" s="198" t="s">
        <v>392</v>
      </c>
      <c r="D105" s="199">
        <v>-13.5200246400829</v>
      </c>
      <c r="E105" s="199">
        <v>-71.923434274058593</v>
      </c>
      <c r="F105" s="72"/>
      <c r="G105" s="72"/>
      <c r="H105" s="49"/>
      <c r="I105" s="49"/>
      <c r="J105" s="50"/>
      <c r="K105" s="51"/>
      <c r="L105" s="52"/>
      <c r="M105" s="73"/>
      <c r="N105" s="53"/>
      <c r="O105" s="54"/>
      <c r="P105" s="61">
        <v>18</v>
      </c>
      <c r="Q105" s="61">
        <v>14020</v>
      </c>
      <c r="R105" s="62" t="s">
        <v>393</v>
      </c>
      <c r="S105" s="62" t="s">
        <v>394</v>
      </c>
      <c r="T105" s="57"/>
      <c r="U105" s="41"/>
      <c r="V105" s="42"/>
      <c r="W105" s="42"/>
      <c r="X105" s="69"/>
      <c r="Y105" s="70"/>
      <c r="Z105" s="74">
        <v>46208</v>
      </c>
    </row>
    <row r="106" spans="1:26" ht="23.4" x14ac:dyDescent="0.3">
      <c r="A106" s="102"/>
      <c r="B106" s="29" t="s">
        <v>395</v>
      </c>
      <c r="C106" s="30" t="s">
        <v>396</v>
      </c>
      <c r="D106" s="47">
        <v>-13.526949271614789</v>
      </c>
      <c r="E106" s="47">
        <v>-71.913482173110182</v>
      </c>
      <c r="F106" s="72"/>
      <c r="G106" s="72"/>
      <c r="H106" s="100"/>
      <c r="I106" s="100"/>
      <c r="J106" s="50"/>
      <c r="K106" s="51"/>
      <c r="L106" s="52"/>
      <c r="M106" s="73"/>
      <c r="N106" s="53"/>
      <c r="O106" s="54"/>
      <c r="P106" s="61"/>
      <c r="Q106" s="61"/>
      <c r="R106" s="62"/>
      <c r="S106" s="62"/>
      <c r="T106" s="57">
        <v>112</v>
      </c>
      <c r="U106" s="41"/>
      <c r="V106" s="42" t="s">
        <v>397</v>
      </c>
      <c r="W106" s="42" t="s">
        <v>398</v>
      </c>
      <c r="X106" s="69"/>
      <c r="Y106" s="70"/>
      <c r="Z106" s="74">
        <v>46211</v>
      </c>
    </row>
    <row r="107" spans="1:26" ht="23.4" x14ac:dyDescent="0.3">
      <c r="B107" s="46" t="s">
        <v>399</v>
      </c>
      <c r="C107" s="30" t="s">
        <v>400</v>
      </c>
      <c r="D107" s="47">
        <v>-13.522255840819387</v>
      </c>
      <c r="E107" s="47">
        <v>-71.913988145909428</v>
      </c>
      <c r="F107" s="72"/>
      <c r="G107" s="72"/>
      <c r="H107" s="100"/>
      <c r="I107" s="100"/>
      <c r="J107" s="50"/>
      <c r="K107" s="51"/>
      <c r="L107" s="52"/>
      <c r="M107" s="73"/>
      <c r="N107" s="104"/>
      <c r="O107" s="105"/>
      <c r="P107" s="61">
        <v>19</v>
      </c>
      <c r="Q107" s="61">
        <v>14021</v>
      </c>
      <c r="R107" s="62" t="s">
        <v>401</v>
      </c>
      <c r="S107" s="62" t="s">
        <v>402</v>
      </c>
      <c r="T107" s="57"/>
      <c r="U107" s="41"/>
      <c r="V107" s="42"/>
      <c r="W107" s="42"/>
      <c r="X107" s="69"/>
      <c r="Y107" s="70"/>
      <c r="Z107" s="74">
        <v>46211</v>
      </c>
    </row>
    <row r="108" spans="1:26" ht="23.4" x14ac:dyDescent="0.3">
      <c r="B108" s="29" t="s">
        <v>403</v>
      </c>
      <c r="C108" s="30" t="s">
        <v>404</v>
      </c>
      <c r="D108" s="47">
        <v>-13.519974109326595</v>
      </c>
      <c r="E108" s="47">
        <v>-71.916803376627215</v>
      </c>
      <c r="F108" s="72"/>
      <c r="G108" s="72"/>
      <c r="H108" s="100"/>
      <c r="I108" s="100"/>
      <c r="J108" s="50"/>
      <c r="K108" s="51" t="s">
        <v>405</v>
      </c>
      <c r="L108" s="52">
        <v>21</v>
      </c>
      <c r="M108" s="73">
        <v>21</v>
      </c>
      <c r="N108" s="53" t="s">
        <v>406</v>
      </c>
      <c r="O108" s="54" t="s">
        <v>407</v>
      </c>
      <c r="P108" s="61">
        <v>20</v>
      </c>
      <c r="Q108" s="61">
        <v>14022</v>
      </c>
      <c r="R108" s="62" t="s">
        <v>408</v>
      </c>
      <c r="S108" s="62" t="s">
        <v>409</v>
      </c>
      <c r="T108" s="57"/>
      <c r="U108" s="41"/>
      <c r="V108" s="42"/>
      <c r="W108" s="42"/>
      <c r="X108" s="69"/>
      <c r="Y108" s="70"/>
      <c r="Z108" s="74">
        <v>46221</v>
      </c>
    </row>
    <row r="109" spans="1:26" ht="23.4" x14ac:dyDescent="0.3">
      <c r="B109" s="205" t="s">
        <v>410</v>
      </c>
      <c r="C109" s="206" t="s">
        <v>411</v>
      </c>
      <c r="D109" s="202">
        <v>-13.52988541</v>
      </c>
      <c r="E109" s="202">
        <v>-71.916471778871284</v>
      </c>
      <c r="F109" s="117"/>
      <c r="G109" s="117"/>
      <c r="H109" s="207"/>
      <c r="I109" s="207"/>
      <c r="J109" s="119"/>
      <c r="K109" s="120"/>
      <c r="L109" s="121"/>
      <c r="M109" s="122"/>
      <c r="N109" s="123"/>
      <c r="O109" s="124"/>
      <c r="P109" s="125">
        <v>21</v>
      </c>
      <c r="Q109" s="125">
        <v>14023</v>
      </c>
      <c r="R109" s="126" t="s">
        <v>412</v>
      </c>
      <c r="S109" s="126" t="s">
        <v>413</v>
      </c>
      <c r="T109" s="127"/>
      <c r="U109" s="128"/>
      <c r="V109" s="129"/>
      <c r="W109" s="129"/>
      <c r="X109" s="208"/>
      <c r="Y109" s="209"/>
      <c r="Z109" s="312" t="s">
        <v>198</v>
      </c>
    </row>
    <row r="110" spans="1:26" ht="23.4" x14ac:dyDescent="0.3">
      <c r="B110" s="29" t="s">
        <v>414</v>
      </c>
      <c r="C110" s="30" t="s">
        <v>415</v>
      </c>
      <c r="D110" s="210">
        <v>-13.53251027</v>
      </c>
      <c r="E110" s="210">
        <v>-71.920730000000006</v>
      </c>
      <c r="F110" s="72"/>
      <c r="G110" s="72"/>
      <c r="H110" s="49"/>
      <c r="I110" s="49"/>
      <c r="J110" s="50"/>
      <c r="K110" s="51" t="s">
        <v>416</v>
      </c>
      <c r="L110" s="52">
        <v>22</v>
      </c>
      <c r="M110" s="73">
        <v>22</v>
      </c>
      <c r="N110" s="53" t="s">
        <v>417</v>
      </c>
      <c r="O110" s="54" t="s">
        <v>418</v>
      </c>
      <c r="P110" s="61"/>
      <c r="Q110" s="61"/>
      <c r="R110" s="62"/>
      <c r="S110" s="62"/>
      <c r="T110" s="57">
        <v>113</v>
      </c>
      <c r="U110" s="41"/>
      <c r="V110" s="42" t="s">
        <v>419</v>
      </c>
      <c r="W110" s="42" t="s">
        <v>420</v>
      </c>
      <c r="X110" s="69"/>
      <c r="Y110" s="70"/>
      <c r="Z110" s="101">
        <v>46183</v>
      </c>
    </row>
    <row r="111" spans="1:26" ht="23.4" x14ac:dyDescent="0.3">
      <c r="B111" s="46" t="s">
        <v>421</v>
      </c>
      <c r="C111" s="30" t="s">
        <v>422</v>
      </c>
      <c r="D111" s="47">
        <v>-13.531167895762557</v>
      </c>
      <c r="E111" s="47">
        <v>-71.918065878004967</v>
      </c>
      <c r="F111" s="72"/>
      <c r="G111" s="72"/>
      <c r="H111" s="100"/>
      <c r="I111" s="100"/>
      <c r="J111" s="50"/>
      <c r="K111" s="51"/>
      <c r="L111" s="52"/>
      <c r="M111" s="73"/>
      <c r="N111" s="53"/>
      <c r="O111" s="54"/>
      <c r="P111" s="61"/>
      <c r="Q111" s="61"/>
      <c r="R111" s="62"/>
      <c r="S111" s="62"/>
      <c r="T111" s="57">
        <v>114</v>
      </c>
      <c r="U111" s="41">
        <v>14105</v>
      </c>
      <c r="V111" s="42" t="s">
        <v>423</v>
      </c>
      <c r="W111" s="42" t="s">
        <v>424</v>
      </c>
      <c r="X111" s="69"/>
      <c r="Y111" s="70"/>
      <c r="Z111" s="74">
        <v>46189</v>
      </c>
    </row>
    <row r="112" spans="1:26" ht="23.4" x14ac:dyDescent="0.3">
      <c r="B112" s="29" t="s">
        <v>425</v>
      </c>
      <c r="C112" s="30" t="s">
        <v>426</v>
      </c>
      <c r="D112" s="47">
        <v>-13.531488514196051</v>
      </c>
      <c r="E112" s="47">
        <v>-71.920774434799839</v>
      </c>
      <c r="F112" s="72"/>
      <c r="G112" s="72"/>
      <c r="H112" s="100"/>
      <c r="I112" s="100"/>
      <c r="J112" s="50"/>
      <c r="K112" s="51"/>
      <c r="L112" s="52"/>
      <c r="M112" s="73"/>
      <c r="N112" s="53"/>
      <c r="O112" s="54"/>
      <c r="P112" s="61">
        <v>22</v>
      </c>
      <c r="Q112" s="61">
        <v>14024</v>
      </c>
      <c r="R112" s="62" t="s">
        <v>427</v>
      </c>
      <c r="S112" s="62" t="s">
        <v>428</v>
      </c>
      <c r="T112" s="57"/>
      <c r="U112" s="41"/>
      <c r="V112" s="42"/>
      <c r="W112" s="42"/>
      <c r="X112" s="69"/>
      <c r="Y112" s="70"/>
      <c r="Z112" s="74">
        <v>46189</v>
      </c>
    </row>
    <row r="113" spans="1:26" ht="23.4" x14ac:dyDescent="0.3">
      <c r="B113" s="46" t="s">
        <v>429</v>
      </c>
      <c r="C113" s="30" t="s">
        <v>430</v>
      </c>
      <c r="D113" s="47">
        <v>-13.529126181408763</v>
      </c>
      <c r="E113" s="47">
        <v>-71.920431767518693</v>
      </c>
      <c r="F113" s="72"/>
      <c r="G113" s="72"/>
      <c r="H113" s="100"/>
      <c r="I113" s="100"/>
      <c r="J113" s="50"/>
      <c r="K113" s="51"/>
      <c r="L113" s="52"/>
      <c r="M113" s="73"/>
      <c r="N113" s="53"/>
      <c r="O113" s="54"/>
      <c r="P113" s="61">
        <v>23</v>
      </c>
      <c r="Q113" s="61">
        <v>14025</v>
      </c>
      <c r="R113" s="62" t="s">
        <v>431</v>
      </c>
      <c r="S113" s="62" t="s">
        <v>432</v>
      </c>
      <c r="T113" s="57"/>
      <c r="U113" s="41"/>
      <c r="V113" s="42"/>
      <c r="W113" s="42"/>
      <c r="X113" s="69"/>
      <c r="Y113" s="70"/>
      <c r="Z113" s="74">
        <v>46210</v>
      </c>
    </row>
    <row r="114" spans="1:26" ht="23.4" x14ac:dyDescent="0.3">
      <c r="B114" s="29" t="s">
        <v>433</v>
      </c>
      <c r="C114" s="30" t="s">
        <v>434</v>
      </c>
      <c r="D114" s="47">
        <v>-13.528220563548688</v>
      </c>
      <c r="E114" s="47">
        <v>-71.919866876515485</v>
      </c>
      <c r="F114" s="72"/>
      <c r="G114" s="72"/>
      <c r="H114" s="100"/>
      <c r="I114" s="100"/>
      <c r="J114" s="50"/>
      <c r="K114" s="51"/>
      <c r="L114" s="52"/>
      <c r="M114" s="73"/>
      <c r="N114" s="53"/>
      <c r="O114" s="54"/>
      <c r="P114" s="61"/>
      <c r="Q114" s="61"/>
      <c r="R114" s="62"/>
      <c r="S114" s="62"/>
      <c r="T114" s="57">
        <v>115</v>
      </c>
      <c r="U114" s="41">
        <v>14106</v>
      </c>
      <c r="V114" s="42" t="s">
        <v>435</v>
      </c>
      <c r="W114" s="42" t="s">
        <v>436</v>
      </c>
      <c r="X114" s="69"/>
      <c r="Y114" s="70"/>
      <c r="Z114" s="74">
        <v>46224</v>
      </c>
    </row>
    <row r="115" spans="1:26" ht="24.6" customHeight="1" x14ac:dyDescent="0.3">
      <c r="B115" s="46" t="s">
        <v>437</v>
      </c>
      <c r="C115" s="30" t="s">
        <v>438</v>
      </c>
      <c r="D115" s="47">
        <v>-13.529549621786273</v>
      </c>
      <c r="E115" s="47">
        <v>-71.921295396656987</v>
      </c>
      <c r="F115" s="72"/>
      <c r="G115" s="72"/>
      <c r="H115" s="100"/>
      <c r="I115" s="100"/>
      <c r="J115" s="50"/>
      <c r="K115" s="51"/>
      <c r="L115" s="52"/>
      <c r="M115" s="73"/>
      <c r="N115" s="104"/>
      <c r="O115" s="105"/>
      <c r="P115" s="61">
        <v>24</v>
      </c>
      <c r="Q115" s="61">
        <v>14026</v>
      </c>
      <c r="R115" s="62" t="s">
        <v>439</v>
      </c>
      <c r="S115" s="62" t="s">
        <v>440</v>
      </c>
      <c r="T115" s="57"/>
      <c r="U115" s="41"/>
      <c r="V115" s="42"/>
      <c r="W115" s="42"/>
      <c r="X115" s="69"/>
      <c r="Y115" s="70"/>
      <c r="Z115" s="74">
        <v>46210</v>
      </c>
    </row>
    <row r="116" spans="1:26" ht="23.4" x14ac:dyDescent="0.3">
      <c r="B116" s="29" t="s">
        <v>441</v>
      </c>
      <c r="C116" s="30" t="s">
        <v>442</v>
      </c>
      <c r="D116" s="47">
        <v>-13.531135482685833</v>
      </c>
      <c r="E116" s="47">
        <v>-71.923160917564147</v>
      </c>
      <c r="F116" s="72"/>
      <c r="G116" s="72"/>
      <c r="H116" s="100"/>
      <c r="I116" s="100"/>
      <c r="J116" s="50"/>
      <c r="K116" s="51" t="s">
        <v>443</v>
      </c>
      <c r="L116" s="52">
        <v>23</v>
      </c>
      <c r="M116" s="73">
        <v>23</v>
      </c>
      <c r="N116" s="104" t="s">
        <v>444</v>
      </c>
      <c r="O116" s="105" t="s">
        <v>445</v>
      </c>
      <c r="P116" s="61"/>
      <c r="Q116" s="61"/>
      <c r="R116" s="62"/>
      <c r="S116" s="62"/>
      <c r="T116" s="57"/>
      <c r="U116" s="41"/>
      <c r="V116" s="42"/>
      <c r="W116" s="42"/>
      <c r="X116" s="58">
        <v>66</v>
      </c>
      <c r="Y116" s="59">
        <v>115</v>
      </c>
      <c r="Z116" s="74">
        <v>46189</v>
      </c>
    </row>
    <row r="117" spans="1:26" ht="23.4" x14ac:dyDescent="0.3">
      <c r="B117" s="46" t="s">
        <v>446</v>
      </c>
      <c r="C117" s="30" t="s">
        <v>447</v>
      </c>
      <c r="D117" s="47">
        <v>-13.524077468817625</v>
      </c>
      <c r="E117" s="47">
        <v>-71.920425581384904</v>
      </c>
      <c r="F117" s="72"/>
      <c r="G117" s="72"/>
      <c r="H117" s="100"/>
      <c r="I117" s="100"/>
      <c r="J117" s="50"/>
      <c r="K117" s="51"/>
      <c r="L117" s="52"/>
      <c r="M117" s="73"/>
      <c r="N117" s="53"/>
      <c r="O117" s="54"/>
      <c r="P117" s="61">
        <v>25</v>
      </c>
      <c r="Q117" s="61">
        <v>14027</v>
      </c>
      <c r="R117" s="62" t="s">
        <v>448</v>
      </c>
      <c r="S117" s="62" t="s">
        <v>449</v>
      </c>
      <c r="T117" s="57"/>
      <c r="U117" s="41"/>
      <c r="V117" s="42"/>
      <c r="W117" s="42"/>
      <c r="X117" s="69"/>
      <c r="Y117" s="70"/>
      <c r="Z117" s="74">
        <v>46223</v>
      </c>
    </row>
    <row r="118" spans="1:26" ht="23.4" x14ac:dyDescent="0.3">
      <c r="B118" s="204" t="s">
        <v>450</v>
      </c>
      <c r="C118" s="198" t="s">
        <v>451</v>
      </c>
      <c r="D118" s="199">
        <v>-13.5261287313634</v>
      </c>
      <c r="E118" s="199">
        <v>-71.918946705483606</v>
      </c>
      <c r="F118" s="72"/>
      <c r="G118" s="72"/>
      <c r="H118" s="100"/>
      <c r="I118" s="100"/>
      <c r="J118" s="50"/>
      <c r="K118" s="51"/>
      <c r="L118" s="52"/>
      <c r="M118" s="73"/>
      <c r="N118" s="53"/>
      <c r="O118" s="54"/>
      <c r="P118" s="61">
        <v>26</v>
      </c>
      <c r="Q118" s="61">
        <v>14028</v>
      </c>
      <c r="R118" s="62" t="s">
        <v>452</v>
      </c>
      <c r="S118" s="62" t="s">
        <v>453</v>
      </c>
      <c r="T118" s="57"/>
      <c r="U118" s="41"/>
      <c r="V118" s="42"/>
      <c r="W118" s="42"/>
      <c r="X118" s="69"/>
      <c r="Y118" s="70"/>
      <c r="Z118" s="74">
        <v>46223</v>
      </c>
    </row>
    <row r="119" spans="1:26" ht="23.4" x14ac:dyDescent="0.3">
      <c r="B119" s="46" t="s">
        <v>454</v>
      </c>
      <c r="C119" s="30" t="s">
        <v>455</v>
      </c>
      <c r="D119" s="47">
        <v>-13.527844901361011</v>
      </c>
      <c r="E119" s="47">
        <v>-71.921099213896085</v>
      </c>
      <c r="F119" s="72"/>
      <c r="G119" s="72"/>
      <c r="H119" s="100"/>
      <c r="I119" s="100"/>
      <c r="J119" s="50"/>
      <c r="K119" s="51"/>
      <c r="L119" s="52"/>
      <c r="M119" s="73"/>
      <c r="N119" s="104"/>
      <c r="O119" s="105"/>
      <c r="P119" s="61">
        <v>27</v>
      </c>
      <c r="Q119" s="61">
        <v>14029</v>
      </c>
      <c r="R119" s="62" t="s">
        <v>456</v>
      </c>
      <c r="S119" s="62" t="s">
        <v>457</v>
      </c>
      <c r="T119" s="57"/>
      <c r="U119" s="41"/>
      <c r="V119" s="42"/>
      <c r="W119" s="42"/>
      <c r="X119" s="69"/>
      <c r="Y119" s="70"/>
      <c r="Z119" s="74">
        <v>46224</v>
      </c>
    </row>
    <row r="120" spans="1:26" ht="23.4" x14ac:dyDescent="0.3">
      <c r="B120" s="46" t="s">
        <v>458</v>
      </c>
      <c r="C120" s="30" t="s">
        <v>459</v>
      </c>
      <c r="D120" s="47">
        <v>-13.52915848359897</v>
      </c>
      <c r="E120" s="47">
        <v>-71.91843831044946</v>
      </c>
      <c r="F120" s="72"/>
      <c r="G120" s="72"/>
      <c r="H120" s="49"/>
      <c r="I120" s="49"/>
      <c r="J120" s="50"/>
      <c r="K120" s="51"/>
      <c r="L120" s="52"/>
      <c r="M120" s="73"/>
      <c r="N120" s="53"/>
      <c r="O120" s="54"/>
      <c r="P120" s="61">
        <v>28</v>
      </c>
      <c r="Q120" s="61">
        <v>14030</v>
      </c>
      <c r="R120" s="62" t="s">
        <v>460</v>
      </c>
      <c r="S120" s="62" t="s">
        <v>461</v>
      </c>
      <c r="T120" s="57"/>
      <c r="U120" s="41"/>
      <c r="V120" s="42"/>
      <c r="W120" s="42"/>
      <c r="X120" s="69"/>
      <c r="Y120" s="70"/>
      <c r="Z120" s="74">
        <v>46208</v>
      </c>
    </row>
    <row r="121" spans="1:26" ht="23.4" x14ac:dyDescent="0.3">
      <c r="B121" s="29" t="s">
        <v>462</v>
      </c>
      <c r="C121" s="30" t="s">
        <v>463</v>
      </c>
      <c r="D121" s="47">
        <v>-13.527353238974943</v>
      </c>
      <c r="E121" s="47">
        <v>-71.922210131529383</v>
      </c>
      <c r="F121" s="72"/>
      <c r="G121" s="72"/>
      <c r="H121" s="100"/>
      <c r="I121" s="100"/>
      <c r="J121" s="50"/>
      <c r="K121" s="51"/>
      <c r="L121" s="52"/>
      <c r="M121" s="73"/>
      <c r="N121" s="104"/>
      <c r="O121" s="105"/>
      <c r="P121" s="61">
        <v>29</v>
      </c>
      <c r="Q121" s="61">
        <v>14031</v>
      </c>
      <c r="R121" s="62" t="s">
        <v>464</v>
      </c>
      <c r="S121" s="62" t="s">
        <v>465</v>
      </c>
      <c r="T121" s="57"/>
      <c r="U121" s="41"/>
      <c r="V121" s="42"/>
      <c r="W121" s="42"/>
      <c r="X121" s="69"/>
      <c r="Y121" s="70"/>
      <c r="Z121" s="74">
        <v>46224</v>
      </c>
    </row>
    <row r="122" spans="1:26" ht="23.4" x14ac:dyDescent="0.3">
      <c r="B122" s="29" t="s">
        <v>466</v>
      </c>
      <c r="C122" s="30" t="s">
        <v>467</v>
      </c>
      <c r="D122" s="47">
        <v>-13.533426</v>
      </c>
      <c r="E122" s="47">
        <v>-71.911531999999994</v>
      </c>
      <c r="F122" s="72">
        <v>14566</v>
      </c>
      <c r="G122" s="72">
        <v>15</v>
      </c>
      <c r="H122" s="49" t="s">
        <v>468</v>
      </c>
      <c r="I122" s="49" t="s">
        <v>469</v>
      </c>
      <c r="J122" s="50">
        <v>2.5</v>
      </c>
      <c r="K122" s="51" t="s">
        <v>470</v>
      </c>
      <c r="L122" s="52">
        <v>24</v>
      </c>
      <c r="M122" s="73">
        <v>24</v>
      </c>
      <c r="N122" s="53" t="s">
        <v>471</v>
      </c>
      <c r="O122" s="54" t="s">
        <v>472</v>
      </c>
      <c r="P122" s="61"/>
      <c r="Q122" s="61"/>
      <c r="R122" s="62"/>
      <c r="S122" s="62"/>
      <c r="T122" s="57">
        <v>116</v>
      </c>
      <c r="U122" s="41">
        <v>14107</v>
      </c>
      <c r="V122" s="42" t="s">
        <v>473</v>
      </c>
      <c r="W122" s="42" t="s">
        <v>474</v>
      </c>
      <c r="X122" s="69"/>
      <c r="Y122" s="70"/>
      <c r="Z122" s="74">
        <v>46185</v>
      </c>
    </row>
    <row r="123" spans="1:26" ht="23.4" x14ac:dyDescent="0.3">
      <c r="B123" s="197" t="s">
        <v>475</v>
      </c>
      <c r="C123" s="198" t="s">
        <v>476</v>
      </c>
      <c r="D123" s="199">
        <v>-13.526641309688484</v>
      </c>
      <c r="E123" s="199">
        <v>-71.901903027083449</v>
      </c>
      <c r="F123" s="72"/>
      <c r="G123" s="72"/>
      <c r="H123" s="49"/>
      <c r="I123" s="49"/>
      <c r="J123" s="50"/>
      <c r="K123" s="51"/>
      <c r="L123" s="52"/>
      <c r="M123" s="73"/>
      <c r="N123" s="53"/>
      <c r="O123" s="54"/>
      <c r="P123" s="61"/>
      <c r="Q123" s="61"/>
      <c r="R123" s="62"/>
      <c r="S123" s="62"/>
      <c r="T123" s="57">
        <v>117</v>
      </c>
      <c r="U123" s="41">
        <v>14108</v>
      </c>
      <c r="V123" s="42" t="s">
        <v>477</v>
      </c>
      <c r="W123" s="42" t="s">
        <v>478</v>
      </c>
      <c r="X123" s="69"/>
      <c r="Y123" s="70"/>
      <c r="Z123" s="74">
        <v>46208</v>
      </c>
    </row>
    <row r="124" spans="1:26" ht="23.4" x14ac:dyDescent="0.3">
      <c r="B124" s="204" t="s">
        <v>479</v>
      </c>
      <c r="C124" s="198" t="s">
        <v>480</v>
      </c>
      <c r="D124" s="199">
        <v>-13.523941375740677</v>
      </c>
      <c r="E124" s="199">
        <v>-71.900291859506723</v>
      </c>
      <c r="F124" s="72"/>
      <c r="G124" s="72"/>
      <c r="H124" s="49"/>
      <c r="I124" s="49"/>
      <c r="J124" s="50"/>
      <c r="K124" s="51"/>
      <c r="L124" s="52"/>
      <c r="M124" s="73"/>
      <c r="N124" s="53"/>
      <c r="O124" s="54"/>
      <c r="P124" s="61">
        <v>30</v>
      </c>
      <c r="Q124" s="61">
        <v>14032</v>
      </c>
      <c r="R124" s="62" t="s">
        <v>481</v>
      </c>
      <c r="S124" s="62" t="s">
        <v>482</v>
      </c>
      <c r="T124" s="57"/>
      <c r="U124" s="41"/>
      <c r="V124" s="42"/>
      <c r="W124" s="42"/>
      <c r="X124" s="69"/>
      <c r="Y124" s="70"/>
      <c r="Z124" s="74">
        <v>46208</v>
      </c>
    </row>
    <row r="125" spans="1:26" ht="23.4" x14ac:dyDescent="0.3">
      <c r="B125" s="46" t="s">
        <v>483</v>
      </c>
      <c r="C125" s="30" t="s">
        <v>484</v>
      </c>
      <c r="D125" s="47">
        <v>-13.523158925283234</v>
      </c>
      <c r="E125" s="47">
        <v>-71.904676191234572</v>
      </c>
      <c r="F125" s="72"/>
      <c r="G125" s="72"/>
      <c r="H125" s="49"/>
      <c r="I125" s="49"/>
      <c r="J125" s="50"/>
      <c r="K125" s="51"/>
      <c r="L125" s="52"/>
      <c r="M125" s="73"/>
      <c r="N125" s="53"/>
      <c r="O125" s="54"/>
      <c r="P125" s="61">
        <v>31</v>
      </c>
      <c r="Q125" s="61">
        <v>14033</v>
      </c>
      <c r="R125" s="62" t="s">
        <v>485</v>
      </c>
      <c r="S125" s="62" t="s">
        <v>486</v>
      </c>
      <c r="T125" s="57"/>
      <c r="U125" s="41"/>
      <c r="V125" s="42"/>
      <c r="W125" s="42"/>
      <c r="X125" s="69"/>
      <c r="Y125" s="70"/>
      <c r="Z125" s="74">
        <v>46209</v>
      </c>
    </row>
    <row r="126" spans="1:26" ht="23.4" x14ac:dyDescent="0.3">
      <c r="A126" t="s">
        <v>191</v>
      </c>
      <c r="B126" s="204" t="s">
        <v>487</v>
      </c>
      <c r="C126" s="198" t="s">
        <v>488</v>
      </c>
      <c r="D126" s="199">
        <v>-13.5161799271453</v>
      </c>
      <c r="E126" s="199">
        <v>-71.907733492110196</v>
      </c>
      <c r="F126" s="72"/>
      <c r="G126" s="72"/>
      <c r="H126" s="49"/>
      <c r="I126" s="49"/>
      <c r="J126" s="50"/>
      <c r="K126" s="51"/>
      <c r="L126" s="52"/>
      <c r="M126" s="73"/>
      <c r="N126" s="53"/>
      <c r="O126" s="54"/>
      <c r="P126" s="61">
        <v>32</v>
      </c>
      <c r="Q126" s="61">
        <v>14034</v>
      </c>
      <c r="R126" s="62" t="s">
        <v>489</v>
      </c>
      <c r="S126" s="62" t="s">
        <v>490</v>
      </c>
      <c r="T126" s="57"/>
      <c r="U126" s="41"/>
      <c r="V126" s="42"/>
      <c r="W126" s="42"/>
      <c r="X126" s="69"/>
      <c r="Y126" s="70"/>
      <c r="Z126" s="74">
        <v>46238</v>
      </c>
    </row>
    <row r="127" spans="1:26" ht="23.4" x14ac:dyDescent="0.3">
      <c r="B127" s="46" t="s">
        <v>491</v>
      </c>
      <c r="C127" s="30" t="s">
        <v>492</v>
      </c>
      <c r="D127" s="47">
        <v>-13.528316309584026</v>
      </c>
      <c r="E127" s="47">
        <v>-71.910101865968002</v>
      </c>
      <c r="F127" s="72"/>
      <c r="G127" s="72"/>
      <c r="H127" s="49"/>
      <c r="I127" s="49"/>
      <c r="J127" s="50"/>
      <c r="K127" s="51"/>
      <c r="L127" s="52"/>
      <c r="M127" s="73"/>
      <c r="N127" s="53"/>
      <c r="O127" s="54"/>
      <c r="P127" s="61">
        <v>33</v>
      </c>
      <c r="Q127" s="61">
        <v>14035</v>
      </c>
      <c r="R127" s="62" t="s">
        <v>493</v>
      </c>
      <c r="S127" s="62" t="s">
        <v>494</v>
      </c>
      <c r="T127" s="57"/>
      <c r="U127" s="41"/>
      <c r="V127" s="42"/>
      <c r="W127" s="42"/>
      <c r="X127" s="69"/>
      <c r="Y127" s="70"/>
      <c r="Z127" s="74">
        <v>46210</v>
      </c>
    </row>
    <row r="128" spans="1:26" ht="23.4" x14ac:dyDescent="0.3">
      <c r="B128" s="29" t="s">
        <v>495</v>
      </c>
      <c r="C128" s="30" t="s">
        <v>496</v>
      </c>
      <c r="D128" s="47">
        <v>-13.530567092917499</v>
      </c>
      <c r="E128" s="47">
        <v>-71.911495398344243</v>
      </c>
      <c r="F128" s="72"/>
      <c r="G128" s="72"/>
      <c r="H128" s="49"/>
      <c r="I128" s="49"/>
      <c r="J128" s="50"/>
      <c r="K128" s="51"/>
      <c r="L128" s="52"/>
      <c r="M128" s="73"/>
      <c r="N128" s="53"/>
      <c r="O128" s="54"/>
      <c r="P128" s="61">
        <v>34</v>
      </c>
      <c r="Q128" s="61">
        <v>14036</v>
      </c>
      <c r="R128" s="62" t="s">
        <v>497</v>
      </c>
      <c r="S128" s="62" t="s">
        <v>498</v>
      </c>
      <c r="T128" s="57"/>
      <c r="U128" s="41"/>
      <c r="V128" s="42"/>
      <c r="W128" s="42"/>
      <c r="X128" s="69"/>
      <c r="Y128" s="70"/>
      <c r="Z128" s="74">
        <v>46208</v>
      </c>
    </row>
    <row r="129" spans="2:26" ht="23.4" x14ac:dyDescent="0.3">
      <c r="B129" s="197" t="s">
        <v>499</v>
      </c>
      <c r="C129" s="198" t="s">
        <v>500</v>
      </c>
      <c r="D129" s="199">
        <v>-13.531242885085572</v>
      </c>
      <c r="E129" s="199">
        <v>-71.913183645593264</v>
      </c>
      <c r="F129" s="72"/>
      <c r="G129" s="72"/>
      <c r="H129" s="49"/>
      <c r="I129" s="49"/>
      <c r="J129" s="50"/>
      <c r="K129" s="51"/>
      <c r="L129" s="52"/>
      <c r="M129" s="73"/>
      <c r="N129" s="53"/>
      <c r="O129" s="54"/>
      <c r="P129" s="61"/>
      <c r="Q129" s="61"/>
      <c r="R129" s="62"/>
      <c r="S129" s="62"/>
      <c r="T129" s="57"/>
      <c r="U129" s="41"/>
      <c r="V129" s="42"/>
      <c r="W129" s="42"/>
      <c r="X129" s="58">
        <v>67</v>
      </c>
      <c r="Y129" s="59">
        <v>116</v>
      </c>
      <c r="Z129" s="74">
        <v>46188</v>
      </c>
    </row>
    <row r="130" spans="2:26" ht="23.4" x14ac:dyDescent="0.3">
      <c r="B130" s="29" t="s">
        <v>501</v>
      </c>
      <c r="C130" s="30" t="s">
        <v>502</v>
      </c>
      <c r="D130" s="47">
        <v>-13.534852000000001</v>
      </c>
      <c r="E130" s="47">
        <v>-71.909771000000006</v>
      </c>
      <c r="F130" s="72">
        <v>14567</v>
      </c>
      <c r="G130" s="72">
        <v>16</v>
      </c>
      <c r="H130" s="49" t="s">
        <v>503</v>
      </c>
      <c r="I130" s="49" t="s">
        <v>504</v>
      </c>
      <c r="J130" s="50">
        <v>2.5</v>
      </c>
      <c r="K130" s="51"/>
      <c r="L130" s="52"/>
      <c r="M130" s="73"/>
      <c r="N130" s="53"/>
      <c r="O130" s="54"/>
      <c r="P130" s="61"/>
      <c r="Q130" s="61"/>
      <c r="R130" s="62"/>
      <c r="S130" s="62"/>
      <c r="T130" s="57">
        <v>118</v>
      </c>
      <c r="U130" s="41">
        <v>14109</v>
      </c>
      <c r="V130" s="42" t="s">
        <v>505</v>
      </c>
      <c r="W130" s="42" t="s">
        <v>506</v>
      </c>
      <c r="X130" s="69"/>
      <c r="Y130" s="70"/>
      <c r="Z130" s="74">
        <v>46185</v>
      </c>
    </row>
    <row r="131" spans="2:26" ht="23.4" x14ac:dyDescent="0.3">
      <c r="B131" s="211" t="s">
        <v>507</v>
      </c>
      <c r="C131" s="212" t="s">
        <v>508</v>
      </c>
      <c r="D131" s="47">
        <v>-13.53609951</v>
      </c>
      <c r="E131" s="47">
        <v>-71.907405769999997</v>
      </c>
      <c r="F131" s="72">
        <v>14568</v>
      </c>
      <c r="G131" s="72">
        <v>17</v>
      </c>
      <c r="H131" s="100" t="s">
        <v>509</v>
      </c>
      <c r="I131" s="100" t="s">
        <v>510</v>
      </c>
      <c r="J131" s="50">
        <v>2</v>
      </c>
      <c r="K131" s="51" t="s">
        <v>511</v>
      </c>
      <c r="L131" s="52">
        <v>25</v>
      </c>
      <c r="M131" s="73">
        <v>25</v>
      </c>
      <c r="N131" s="53" t="s">
        <v>512</v>
      </c>
      <c r="O131" s="54" t="s">
        <v>513</v>
      </c>
      <c r="P131" s="61"/>
      <c r="Q131" s="61"/>
      <c r="R131" s="62"/>
      <c r="S131" s="62"/>
      <c r="T131" s="57"/>
      <c r="U131" s="41"/>
      <c r="V131" s="42"/>
      <c r="W131" s="42"/>
      <c r="X131" s="58">
        <v>68</v>
      </c>
      <c r="Y131" s="59">
        <v>117</v>
      </c>
      <c r="Z131" s="74">
        <v>46186</v>
      </c>
    </row>
    <row r="132" spans="2:26" ht="23.4" x14ac:dyDescent="0.3">
      <c r="B132" s="29" t="s">
        <v>514</v>
      </c>
      <c r="C132" s="30" t="s">
        <v>515</v>
      </c>
      <c r="D132" s="47">
        <v>-13.536739000000001</v>
      </c>
      <c r="E132" s="47">
        <v>-71.906424000000001</v>
      </c>
      <c r="F132" s="72"/>
      <c r="G132" s="72"/>
      <c r="H132" s="49"/>
      <c r="I132" s="49"/>
      <c r="J132" s="50"/>
      <c r="K132" s="51" t="s">
        <v>516</v>
      </c>
      <c r="L132" s="52">
        <v>26</v>
      </c>
      <c r="M132" s="73">
        <v>26</v>
      </c>
      <c r="N132" s="53" t="s">
        <v>517</v>
      </c>
      <c r="O132" s="54" t="s">
        <v>518</v>
      </c>
      <c r="P132" s="61"/>
      <c r="Q132" s="61"/>
      <c r="R132" s="62"/>
      <c r="S132" s="62"/>
      <c r="T132" s="57"/>
      <c r="U132" s="41"/>
      <c r="V132" s="42"/>
      <c r="W132" s="42"/>
      <c r="X132" s="58">
        <v>69</v>
      </c>
      <c r="Y132" s="59">
        <v>118</v>
      </c>
      <c r="Z132" s="101">
        <v>46186</v>
      </c>
    </row>
    <row r="133" spans="2:26" ht="23.4" x14ac:dyDescent="0.3">
      <c r="B133" s="197" t="s">
        <v>519</v>
      </c>
      <c r="C133" s="198" t="s">
        <v>520</v>
      </c>
      <c r="D133" s="199">
        <v>-13.533749582328801</v>
      </c>
      <c r="E133" s="199">
        <v>-71.906460864598998</v>
      </c>
      <c r="F133" s="72"/>
      <c r="G133" s="72"/>
      <c r="H133" s="100"/>
      <c r="I133" s="100"/>
      <c r="J133" s="50"/>
      <c r="K133" s="51"/>
      <c r="L133" s="52"/>
      <c r="M133" s="73"/>
      <c r="N133" s="104"/>
      <c r="O133" s="105"/>
      <c r="P133" s="61"/>
      <c r="Q133" s="61"/>
      <c r="R133" s="62"/>
      <c r="S133" s="62"/>
      <c r="T133" s="57"/>
      <c r="U133" s="41"/>
      <c r="V133" s="42"/>
      <c r="W133" s="42"/>
      <c r="X133" s="58">
        <v>70</v>
      </c>
      <c r="Y133" s="59">
        <v>119</v>
      </c>
      <c r="Z133" s="74">
        <v>46188</v>
      </c>
    </row>
    <row r="134" spans="2:26" ht="23.4" x14ac:dyDescent="0.3">
      <c r="B134" s="204" t="s">
        <v>521</v>
      </c>
      <c r="C134" s="198" t="s">
        <v>522</v>
      </c>
      <c r="D134" s="199">
        <v>-13.53428659964327</v>
      </c>
      <c r="E134" s="199">
        <v>-71.908531314738553</v>
      </c>
      <c r="F134" s="72"/>
      <c r="G134" s="72"/>
      <c r="H134" s="100"/>
      <c r="I134" s="100"/>
      <c r="J134" s="50"/>
      <c r="K134" s="51" t="s">
        <v>523</v>
      </c>
      <c r="L134" s="52">
        <v>27</v>
      </c>
      <c r="M134" s="73">
        <v>27</v>
      </c>
      <c r="N134" s="53" t="s">
        <v>524</v>
      </c>
      <c r="O134" s="54" t="s">
        <v>525</v>
      </c>
      <c r="P134" s="61"/>
      <c r="Q134" s="61"/>
      <c r="R134" s="62"/>
      <c r="S134" s="62"/>
      <c r="T134" s="57">
        <v>119</v>
      </c>
      <c r="U134" s="41">
        <v>14110</v>
      </c>
      <c r="V134" s="42" t="s">
        <v>526</v>
      </c>
      <c r="W134" s="42" t="s">
        <v>527</v>
      </c>
      <c r="X134" s="69"/>
      <c r="Y134" s="70"/>
      <c r="Z134" s="74">
        <v>46209</v>
      </c>
    </row>
    <row r="135" spans="2:26" ht="23.4" x14ac:dyDescent="0.3">
      <c r="B135" s="46" t="s">
        <v>528</v>
      </c>
      <c r="C135" s="30" t="s">
        <v>529</v>
      </c>
      <c r="D135" s="47">
        <v>-13.531633988128888</v>
      </c>
      <c r="E135" s="47">
        <v>-71.910622202881413</v>
      </c>
      <c r="F135" s="72"/>
      <c r="G135" s="72"/>
      <c r="H135" s="100"/>
      <c r="I135" s="100"/>
      <c r="J135" s="50"/>
      <c r="K135" s="51"/>
      <c r="L135" s="52"/>
      <c r="M135" s="73"/>
      <c r="N135" s="104"/>
      <c r="O135" s="105"/>
      <c r="P135" s="61"/>
      <c r="Q135" s="61"/>
      <c r="R135" s="62"/>
      <c r="S135" s="62"/>
      <c r="T135" s="57"/>
      <c r="U135" s="41"/>
      <c r="V135" s="42"/>
      <c r="W135" s="42"/>
      <c r="X135" s="58">
        <v>71</v>
      </c>
      <c r="Y135" s="59">
        <v>120</v>
      </c>
      <c r="Z135" s="74">
        <v>46188</v>
      </c>
    </row>
    <row r="136" spans="2:26" ht="23.4" x14ac:dyDescent="0.3">
      <c r="B136" s="29" t="s">
        <v>530</v>
      </c>
      <c r="C136" s="30" t="s">
        <v>531</v>
      </c>
      <c r="D136" s="47">
        <v>-13.525473637197109</v>
      </c>
      <c r="E136" s="47">
        <v>-71.906790411870404</v>
      </c>
      <c r="F136" s="72"/>
      <c r="G136" s="72"/>
      <c r="H136" s="100"/>
      <c r="I136" s="100"/>
      <c r="J136" s="50"/>
      <c r="K136" s="51"/>
      <c r="L136" s="52"/>
      <c r="M136" s="73"/>
      <c r="N136" s="53"/>
      <c r="O136" s="54"/>
      <c r="P136" s="61">
        <v>35</v>
      </c>
      <c r="Q136" s="61">
        <v>14037</v>
      </c>
      <c r="R136" s="62" t="s">
        <v>532</v>
      </c>
      <c r="S136" s="62" t="s">
        <v>533</v>
      </c>
      <c r="T136" s="57"/>
      <c r="U136" s="41"/>
      <c r="V136" s="42"/>
      <c r="W136" s="42"/>
      <c r="X136" s="69"/>
      <c r="Y136" s="70"/>
      <c r="Z136" s="74">
        <v>46209</v>
      </c>
    </row>
    <row r="137" spans="2:26" ht="23.4" x14ac:dyDescent="0.3">
      <c r="B137" s="46" t="s">
        <v>534</v>
      </c>
      <c r="C137" s="30" t="s">
        <v>535</v>
      </c>
      <c r="D137" s="47">
        <v>-13.524008933710023</v>
      </c>
      <c r="E137" s="47">
        <v>-71.906144948831766</v>
      </c>
      <c r="F137" s="72"/>
      <c r="G137" s="72"/>
      <c r="H137" s="100"/>
      <c r="I137" s="100"/>
      <c r="J137" s="50"/>
      <c r="K137" s="51"/>
      <c r="L137" s="52"/>
      <c r="M137" s="73"/>
      <c r="N137" s="53"/>
      <c r="O137" s="54"/>
      <c r="P137" s="61">
        <v>36</v>
      </c>
      <c r="Q137" s="61">
        <v>14038</v>
      </c>
      <c r="R137" s="62" t="s">
        <v>536</v>
      </c>
      <c r="S137" s="62" t="s">
        <v>537</v>
      </c>
      <c r="T137" s="57"/>
      <c r="U137" s="41"/>
      <c r="V137" s="42"/>
      <c r="W137" s="42"/>
      <c r="X137" s="69"/>
      <c r="Y137" s="70"/>
      <c r="Z137" s="74">
        <v>46209</v>
      </c>
    </row>
    <row r="138" spans="2:26" ht="23.4" x14ac:dyDescent="0.3">
      <c r="B138" s="29" t="s">
        <v>538</v>
      </c>
      <c r="C138" s="30" t="s">
        <v>539</v>
      </c>
      <c r="D138" s="47">
        <v>-13.535885783244153</v>
      </c>
      <c r="E138" s="47">
        <v>-71.919332666838798</v>
      </c>
      <c r="F138" s="72">
        <v>14569</v>
      </c>
      <c r="G138" s="72">
        <v>18</v>
      </c>
      <c r="H138" s="100" t="s">
        <v>540</v>
      </c>
      <c r="I138" s="100" t="s">
        <v>541</v>
      </c>
      <c r="J138" s="50">
        <v>2</v>
      </c>
      <c r="K138" s="51"/>
      <c r="L138" s="52"/>
      <c r="M138" s="73"/>
      <c r="N138" s="104"/>
      <c r="O138" s="105"/>
      <c r="P138" s="61"/>
      <c r="Q138" s="61"/>
      <c r="R138" s="62"/>
      <c r="S138" s="62"/>
      <c r="T138" s="57">
        <v>120</v>
      </c>
      <c r="U138" s="41">
        <v>14111</v>
      </c>
      <c r="V138" s="42" t="s">
        <v>542</v>
      </c>
      <c r="W138" s="42" t="s">
        <v>543</v>
      </c>
      <c r="X138" s="69"/>
      <c r="Y138" s="70"/>
      <c r="Z138" s="74">
        <v>46184</v>
      </c>
    </row>
    <row r="139" spans="2:26" ht="23.4" x14ac:dyDescent="0.3">
      <c r="B139" s="46" t="s">
        <v>544</v>
      </c>
      <c r="C139" s="30" t="s">
        <v>545</v>
      </c>
      <c r="D139" s="47">
        <v>-13.537836169812998</v>
      </c>
      <c r="E139" s="47">
        <v>-71.908528301534091</v>
      </c>
      <c r="F139" s="72">
        <v>14570</v>
      </c>
      <c r="G139" s="72">
        <v>19</v>
      </c>
      <c r="H139" s="100" t="s">
        <v>546</v>
      </c>
      <c r="I139" s="100" t="s">
        <v>547</v>
      </c>
      <c r="J139" s="50">
        <v>2.5</v>
      </c>
      <c r="K139" s="51"/>
      <c r="L139" s="52"/>
      <c r="M139" s="73"/>
      <c r="N139" s="104"/>
      <c r="O139" s="105"/>
      <c r="P139" s="61"/>
      <c r="Q139" s="61"/>
      <c r="R139" s="62"/>
      <c r="S139" s="62"/>
      <c r="T139" s="57"/>
      <c r="U139" s="41"/>
      <c r="V139" s="42"/>
      <c r="W139" s="42"/>
      <c r="X139" s="58">
        <v>72</v>
      </c>
      <c r="Y139" s="59">
        <v>121</v>
      </c>
      <c r="Z139" s="74">
        <v>46186</v>
      </c>
    </row>
    <row r="140" spans="2:26" ht="23.4" x14ac:dyDescent="0.3">
      <c r="B140" s="29" t="s">
        <v>548</v>
      </c>
      <c r="C140" s="30" t="s">
        <v>549</v>
      </c>
      <c r="D140" s="196">
        <v>-13.537317672158448</v>
      </c>
      <c r="E140" s="196">
        <v>-71.909620509758611</v>
      </c>
      <c r="F140" s="72"/>
      <c r="G140" s="72"/>
      <c r="H140" s="100"/>
      <c r="I140" s="100"/>
      <c r="J140" s="50"/>
      <c r="K140" s="51" t="s">
        <v>550</v>
      </c>
      <c r="L140" s="52">
        <v>28</v>
      </c>
      <c r="M140" s="73">
        <v>28</v>
      </c>
      <c r="N140" s="104" t="s">
        <v>551</v>
      </c>
      <c r="O140" s="105" t="s">
        <v>552</v>
      </c>
      <c r="P140" s="61"/>
      <c r="Q140" s="61"/>
      <c r="R140" s="62"/>
      <c r="S140" s="62"/>
      <c r="T140" s="57"/>
      <c r="U140" s="41"/>
      <c r="V140" s="42"/>
      <c r="W140" s="42"/>
      <c r="X140" s="58">
        <v>73</v>
      </c>
      <c r="Y140" s="59">
        <v>122</v>
      </c>
      <c r="Z140" s="74">
        <v>46188</v>
      </c>
    </row>
    <row r="141" spans="2:26" ht="23.4" x14ac:dyDescent="0.3">
      <c r="B141" s="29" t="s">
        <v>553</v>
      </c>
      <c r="C141" s="30" t="s">
        <v>554</v>
      </c>
      <c r="D141" s="47">
        <v>-13.537082237538996</v>
      </c>
      <c r="E141" s="47">
        <v>-71.91199928676906</v>
      </c>
      <c r="F141" s="72"/>
      <c r="G141" s="72"/>
      <c r="H141" s="100"/>
      <c r="I141" s="100"/>
      <c r="J141" s="50"/>
      <c r="K141" s="51"/>
      <c r="L141" s="52"/>
      <c r="M141" s="73"/>
      <c r="N141" s="104"/>
      <c r="O141" s="105"/>
      <c r="P141" s="61"/>
      <c r="Q141" s="61"/>
      <c r="R141" s="62"/>
      <c r="S141" s="62"/>
      <c r="T141" s="57"/>
      <c r="U141" s="41"/>
      <c r="V141" s="42"/>
      <c r="W141" s="42"/>
      <c r="X141" s="58">
        <v>74</v>
      </c>
      <c r="Y141" s="59">
        <v>123</v>
      </c>
      <c r="Z141" s="74">
        <v>46193</v>
      </c>
    </row>
    <row r="142" spans="2:26" ht="23.4" x14ac:dyDescent="0.3">
      <c r="B142" s="29" t="s">
        <v>555</v>
      </c>
      <c r="C142" s="30" t="s">
        <v>556</v>
      </c>
      <c r="D142" s="47">
        <v>-13.540063894367433</v>
      </c>
      <c r="E142" s="47">
        <v>-71.905693679551675</v>
      </c>
      <c r="F142" s="72">
        <v>14571</v>
      </c>
      <c r="G142" s="72">
        <v>20</v>
      </c>
      <c r="H142" s="100" t="s">
        <v>557</v>
      </c>
      <c r="I142" s="100" t="s">
        <v>558</v>
      </c>
      <c r="J142" s="50">
        <v>2</v>
      </c>
      <c r="K142" s="51"/>
      <c r="L142" s="52"/>
      <c r="M142" s="73"/>
      <c r="N142" s="104"/>
      <c r="O142" s="105"/>
      <c r="P142" s="61">
        <v>37</v>
      </c>
      <c r="Q142" s="61">
        <v>14039</v>
      </c>
      <c r="R142" s="62" t="s">
        <v>559</v>
      </c>
      <c r="S142" s="62" t="s">
        <v>560</v>
      </c>
      <c r="T142" s="57"/>
      <c r="U142" s="41"/>
      <c r="V142" s="42"/>
      <c r="W142" s="42"/>
      <c r="X142" s="69"/>
      <c r="Y142" s="70"/>
      <c r="Z142" s="74">
        <v>46188</v>
      </c>
    </row>
    <row r="143" spans="2:26" ht="23.4" x14ac:dyDescent="0.3">
      <c r="B143" s="204" t="s">
        <v>561</v>
      </c>
      <c r="C143" s="198" t="s">
        <v>562</v>
      </c>
      <c r="D143" s="199">
        <v>-13.539441588713556</v>
      </c>
      <c r="E143" s="213">
        <v>-71.911049489932978</v>
      </c>
      <c r="F143" s="72"/>
      <c r="G143" s="72"/>
      <c r="H143" s="100"/>
      <c r="I143" s="100"/>
      <c r="J143" s="50"/>
      <c r="K143" s="51" t="s">
        <v>563</v>
      </c>
      <c r="L143" s="52">
        <v>29</v>
      </c>
      <c r="M143" s="73">
        <v>29</v>
      </c>
      <c r="N143" s="104" t="s">
        <v>564</v>
      </c>
      <c r="O143" s="105" t="s">
        <v>565</v>
      </c>
      <c r="P143" s="61"/>
      <c r="Q143" s="61"/>
      <c r="R143" s="62"/>
      <c r="S143" s="62"/>
      <c r="T143" s="57"/>
      <c r="U143" s="41"/>
      <c r="V143" s="42"/>
      <c r="W143" s="42"/>
      <c r="X143" s="58">
        <v>75</v>
      </c>
      <c r="Y143" s="59">
        <v>124</v>
      </c>
      <c r="Z143" s="74">
        <v>46193</v>
      </c>
    </row>
    <row r="144" spans="2:26" ht="23.4" x14ac:dyDescent="0.3">
      <c r="B144" s="29" t="s">
        <v>566</v>
      </c>
      <c r="C144" s="30" t="s">
        <v>567</v>
      </c>
      <c r="D144" s="47">
        <v>-13.539692615526111</v>
      </c>
      <c r="E144" s="47">
        <v>-71.911984901535376</v>
      </c>
      <c r="F144" s="72"/>
      <c r="G144" s="72"/>
      <c r="H144" s="100"/>
      <c r="I144" s="100"/>
      <c r="J144" s="50"/>
      <c r="K144" s="51"/>
      <c r="L144" s="52"/>
      <c r="M144" s="73"/>
      <c r="N144" s="104"/>
      <c r="O144" s="105"/>
      <c r="P144" s="61"/>
      <c r="Q144" s="61"/>
      <c r="R144" s="62"/>
      <c r="S144" s="62"/>
      <c r="T144" s="57"/>
      <c r="U144" s="41"/>
      <c r="V144" s="42"/>
      <c r="W144" s="42"/>
      <c r="X144" s="58">
        <v>76</v>
      </c>
      <c r="Y144" s="59">
        <v>125</v>
      </c>
      <c r="Z144" s="74">
        <v>46193</v>
      </c>
    </row>
    <row r="145" spans="1:26" ht="23.4" x14ac:dyDescent="0.3">
      <c r="A145">
        <v>3</v>
      </c>
      <c r="B145" s="29" t="s">
        <v>568</v>
      </c>
      <c r="C145" s="30" t="s">
        <v>569</v>
      </c>
      <c r="D145" s="47">
        <v>-13.539726228901925</v>
      </c>
      <c r="E145" s="47">
        <v>-71.91529932724815</v>
      </c>
      <c r="F145" s="72"/>
      <c r="G145" s="72"/>
      <c r="H145" s="100"/>
      <c r="I145" s="100"/>
      <c r="J145" s="50"/>
      <c r="K145" s="51"/>
      <c r="L145" s="52"/>
      <c r="M145" s="73"/>
      <c r="N145" s="104"/>
      <c r="O145" s="105"/>
      <c r="P145" s="61"/>
      <c r="Q145" s="61"/>
      <c r="R145" s="62"/>
      <c r="S145" s="62"/>
      <c r="T145" s="57"/>
      <c r="U145" s="41"/>
      <c r="V145" s="42"/>
      <c r="W145" s="42"/>
      <c r="X145" s="58">
        <v>77</v>
      </c>
      <c r="Y145" s="59">
        <v>126</v>
      </c>
      <c r="Z145" s="101">
        <v>46195</v>
      </c>
    </row>
    <row r="146" spans="1:26" ht="23.4" x14ac:dyDescent="0.3">
      <c r="B146" s="204" t="s">
        <v>570</v>
      </c>
      <c r="C146" s="198" t="s">
        <v>571</v>
      </c>
      <c r="D146" s="199">
        <v>-13.540731227848227</v>
      </c>
      <c r="E146" s="199">
        <v>-71.913539169512148</v>
      </c>
      <c r="F146" s="72"/>
      <c r="G146" s="72"/>
      <c r="H146" s="100"/>
      <c r="I146" s="100"/>
      <c r="J146" s="50"/>
      <c r="K146" s="51"/>
      <c r="L146" s="52"/>
      <c r="M146" s="73"/>
      <c r="N146" s="104"/>
      <c r="O146" s="105"/>
      <c r="P146" s="61"/>
      <c r="Q146" s="61"/>
      <c r="R146" s="62"/>
      <c r="S146" s="62"/>
      <c r="T146" s="57"/>
      <c r="U146" s="41"/>
      <c r="V146" s="42"/>
      <c r="W146" s="42"/>
      <c r="X146" s="58">
        <v>78</v>
      </c>
      <c r="Y146" s="59">
        <v>127</v>
      </c>
      <c r="Z146" s="74">
        <v>46195</v>
      </c>
    </row>
    <row r="147" spans="1:26" ht="23.4" x14ac:dyDescent="0.3">
      <c r="B147" s="46" t="s">
        <v>572</v>
      </c>
      <c r="C147" s="30" t="s">
        <v>573</v>
      </c>
      <c r="D147" s="47">
        <v>-13.541207160000001</v>
      </c>
      <c r="E147" s="47">
        <v>-71.907572299999998</v>
      </c>
      <c r="F147" s="72"/>
      <c r="G147" s="72"/>
      <c r="H147" s="100"/>
      <c r="I147" s="100"/>
      <c r="J147" s="50"/>
      <c r="K147" s="51"/>
      <c r="L147" s="52"/>
      <c r="M147" s="73"/>
      <c r="N147" s="104"/>
      <c r="O147" s="105"/>
      <c r="P147" s="61"/>
      <c r="Q147" s="61"/>
      <c r="R147" s="62"/>
      <c r="S147" s="62"/>
      <c r="T147" s="57"/>
      <c r="U147" s="41"/>
      <c r="V147" s="42"/>
      <c r="W147" s="42"/>
      <c r="X147" s="58">
        <v>79</v>
      </c>
      <c r="Y147" s="59">
        <v>128</v>
      </c>
      <c r="Z147" s="74">
        <v>46192</v>
      </c>
    </row>
    <row r="148" spans="1:26" ht="23.4" x14ac:dyDescent="0.3">
      <c r="B148" s="204" t="s">
        <v>574</v>
      </c>
      <c r="C148" s="198" t="s">
        <v>575</v>
      </c>
      <c r="D148" s="199">
        <v>-13.5409276564425</v>
      </c>
      <c r="E148" s="199">
        <v>-71.906380181159804</v>
      </c>
      <c r="F148" s="72"/>
      <c r="G148" s="72"/>
      <c r="H148" s="100"/>
      <c r="I148" s="100"/>
      <c r="J148" s="50"/>
      <c r="K148" s="51"/>
      <c r="L148" s="52"/>
      <c r="M148" s="73"/>
      <c r="N148" s="104"/>
      <c r="O148" s="105"/>
      <c r="P148" s="61"/>
      <c r="Q148" s="61"/>
      <c r="R148" s="62"/>
      <c r="S148" s="62"/>
      <c r="T148" s="57">
        <v>121</v>
      </c>
      <c r="U148" s="41">
        <v>14112</v>
      </c>
      <c r="V148" s="42" t="s">
        <v>576</v>
      </c>
      <c r="W148" s="42" t="s">
        <v>577</v>
      </c>
      <c r="X148" s="69"/>
      <c r="Y148" s="70"/>
      <c r="Z148" s="74">
        <v>46192</v>
      </c>
    </row>
    <row r="149" spans="1:26" ht="46.8" x14ac:dyDescent="0.3">
      <c r="B149" s="46" t="s">
        <v>578</v>
      </c>
      <c r="C149" s="30" t="s">
        <v>579</v>
      </c>
      <c r="D149" s="47">
        <v>-13.539746356126132</v>
      </c>
      <c r="E149" s="47">
        <v>-71.908145346954512</v>
      </c>
      <c r="F149" s="72"/>
      <c r="G149" s="72"/>
      <c r="H149" s="100"/>
      <c r="I149" s="100"/>
      <c r="J149" s="50"/>
      <c r="K149" s="51" t="s">
        <v>580</v>
      </c>
      <c r="L149" s="52">
        <v>30</v>
      </c>
      <c r="M149" s="73">
        <v>30</v>
      </c>
      <c r="N149" s="104" t="s">
        <v>581</v>
      </c>
      <c r="O149" s="105" t="s">
        <v>582</v>
      </c>
      <c r="P149" s="61"/>
      <c r="Q149" s="61"/>
      <c r="R149" s="62"/>
      <c r="S149" s="62"/>
      <c r="T149" s="57"/>
      <c r="U149" s="41"/>
      <c r="V149" s="42"/>
      <c r="W149" s="42"/>
      <c r="X149" s="58">
        <v>80</v>
      </c>
      <c r="Y149" s="59">
        <v>129</v>
      </c>
      <c r="Z149" s="74">
        <v>46193</v>
      </c>
    </row>
    <row r="150" spans="1:26" ht="23.4" x14ac:dyDescent="0.3">
      <c r="B150" s="214" t="s">
        <v>583</v>
      </c>
      <c r="C150" s="215" t="s">
        <v>584</v>
      </c>
      <c r="D150" s="210">
        <v>-13.538636242573135</v>
      </c>
      <c r="E150" s="210">
        <v>-71.908851889574549</v>
      </c>
      <c r="F150" s="216"/>
      <c r="G150" s="216"/>
      <c r="H150" s="217"/>
      <c r="I150" s="217"/>
      <c r="J150" s="218"/>
      <c r="K150" s="219" t="s">
        <v>585</v>
      </c>
      <c r="L150" s="220">
        <v>31</v>
      </c>
      <c r="M150" s="221">
        <v>31</v>
      </c>
      <c r="N150" s="222" t="s">
        <v>586</v>
      </c>
      <c r="O150" s="223" t="s">
        <v>587</v>
      </c>
      <c r="P150" s="224"/>
      <c r="Q150" s="224"/>
      <c r="R150" s="225"/>
      <c r="S150" s="225"/>
      <c r="T150" s="226"/>
      <c r="U150" s="227"/>
      <c r="V150" s="228"/>
      <c r="W150" s="228"/>
      <c r="X150" s="229">
        <v>81</v>
      </c>
      <c r="Y150" s="230">
        <v>130</v>
      </c>
      <c r="Z150" s="231"/>
    </row>
    <row r="151" spans="1:26" ht="23.4" x14ac:dyDescent="0.3">
      <c r="B151" s="232" t="s">
        <v>588</v>
      </c>
      <c r="C151" s="30" t="s">
        <v>589</v>
      </c>
      <c r="D151" s="78">
        <v>-13.541960080000001</v>
      </c>
      <c r="E151" s="78">
        <v>-71.903963009999998</v>
      </c>
      <c r="F151" s="72">
        <v>14572</v>
      </c>
      <c r="G151" s="72">
        <v>21</v>
      </c>
      <c r="H151" s="49" t="s">
        <v>590</v>
      </c>
      <c r="I151" s="49" t="s">
        <v>591</v>
      </c>
      <c r="J151" s="50">
        <v>2</v>
      </c>
      <c r="K151" s="51"/>
      <c r="L151" s="52"/>
      <c r="M151" s="73"/>
      <c r="N151" s="104"/>
      <c r="O151" s="105"/>
      <c r="P151" s="61"/>
      <c r="Q151" s="61"/>
      <c r="R151" s="62"/>
      <c r="S151" s="62"/>
      <c r="T151" s="57"/>
      <c r="U151" s="41"/>
      <c r="V151" s="42"/>
      <c r="W151" s="42"/>
      <c r="X151" s="58">
        <v>82</v>
      </c>
      <c r="Y151" s="59">
        <v>131</v>
      </c>
      <c r="Z151" s="45">
        <v>46198</v>
      </c>
    </row>
    <row r="152" spans="1:26" ht="23.4" x14ac:dyDescent="0.3">
      <c r="B152" s="29" t="s">
        <v>592</v>
      </c>
      <c r="C152" s="30" t="s">
        <v>593</v>
      </c>
      <c r="D152" s="47">
        <v>-13.53858961287334</v>
      </c>
      <c r="E152" s="47">
        <v>-71.915682879595266</v>
      </c>
      <c r="F152" s="72"/>
      <c r="G152" s="72"/>
      <c r="H152" s="100"/>
      <c r="I152" s="100"/>
      <c r="J152" s="50"/>
      <c r="K152" s="51"/>
      <c r="L152" s="52"/>
      <c r="M152" s="73"/>
      <c r="N152" s="104"/>
      <c r="O152" s="105"/>
      <c r="P152" s="61"/>
      <c r="Q152" s="61"/>
      <c r="R152" s="62"/>
      <c r="S152" s="62"/>
      <c r="T152" s="57"/>
      <c r="U152" s="41"/>
      <c r="V152" s="42"/>
      <c r="W152" s="42"/>
      <c r="X152" s="58">
        <v>83</v>
      </c>
      <c r="Y152" s="59">
        <v>132</v>
      </c>
      <c r="Z152" s="45">
        <v>46195</v>
      </c>
    </row>
    <row r="153" spans="1:26" ht="23.4" x14ac:dyDescent="0.3">
      <c r="B153" s="29" t="s">
        <v>594</v>
      </c>
      <c r="C153" s="30" t="s">
        <v>595</v>
      </c>
      <c r="D153" s="47">
        <v>-13.539956637290599</v>
      </c>
      <c r="E153" s="47">
        <v>-71.918773076724719</v>
      </c>
      <c r="F153" s="72"/>
      <c r="G153" s="72"/>
      <c r="H153" s="100"/>
      <c r="I153" s="100"/>
      <c r="J153" s="50"/>
      <c r="K153" s="51"/>
      <c r="L153" s="52"/>
      <c r="M153" s="73"/>
      <c r="N153" s="104"/>
      <c r="O153" s="105"/>
      <c r="P153" s="61"/>
      <c r="Q153" s="61"/>
      <c r="R153" s="62"/>
      <c r="S153" s="62"/>
      <c r="T153" s="57"/>
      <c r="U153" s="41"/>
      <c r="V153" s="42"/>
      <c r="W153" s="42"/>
      <c r="X153" s="58">
        <v>84</v>
      </c>
      <c r="Y153" s="59">
        <v>133</v>
      </c>
      <c r="Z153" s="74">
        <v>46196</v>
      </c>
    </row>
    <row r="154" spans="1:26" ht="23.4" x14ac:dyDescent="0.3">
      <c r="A154" s="102" t="s">
        <v>596</v>
      </c>
      <c r="B154" s="29" t="s">
        <v>597</v>
      </c>
      <c r="C154" s="30" t="s">
        <v>598</v>
      </c>
      <c r="D154" s="47">
        <v>-13.540480623821576</v>
      </c>
      <c r="E154" s="47">
        <v>-71.918761007451351</v>
      </c>
      <c r="F154" s="72"/>
      <c r="G154" s="72"/>
      <c r="H154" s="100"/>
      <c r="I154" s="100"/>
      <c r="J154" s="50"/>
      <c r="K154" s="51"/>
      <c r="L154" s="52"/>
      <c r="M154" s="73"/>
      <c r="N154" s="104"/>
      <c r="O154" s="105"/>
      <c r="P154" s="61">
        <v>38</v>
      </c>
      <c r="Q154" s="61">
        <v>14040</v>
      </c>
      <c r="R154" s="62" t="s">
        <v>599</v>
      </c>
      <c r="S154" s="62" t="s">
        <v>600</v>
      </c>
      <c r="T154" s="57"/>
      <c r="U154" s="41"/>
      <c r="V154" s="42"/>
      <c r="W154" s="42"/>
      <c r="X154" s="69"/>
      <c r="Y154" s="70"/>
      <c r="Z154" s="74">
        <v>46196</v>
      </c>
    </row>
    <row r="155" spans="1:26" ht="23.4" x14ac:dyDescent="0.3">
      <c r="B155" s="29" t="s">
        <v>601</v>
      </c>
      <c r="C155" s="30" t="s">
        <v>602</v>
      </c>
      <c r="D155" s="47">
        <v>-13.539791445288763</v>
      </c>
      <c r="E155" s="47">
        <v>-71.920543452083081</v>
      </c>
      <c r="F155" s="72">
        <v>14573</v>
      </c>
      <c r="G155" s="72">
        <v>22</v>
      </c>
      <c r="H155" s="100" t="s">
        <v>603</v>
      </c>
      <c r="I155" s="100" t="s">
        <v>604</v>
      </c>
      <c r="J155" s="50">
        <v>2</v>
      </c>
      <c r="K155" s="51"/>
      <c r="L155" s="52"/>
      <c r="M155" s="73"/>
      <c r="N155" s="104"/>
      <c r="O155" s="105"/>
      <c r="P155" s="61"/>
      <c r="Q155" s="61"/>
      <c r="R155" s="62"/>
      <c r="S155" s="62"/>
      <c r="T155" s="57"/>
      <c r="U155" s="41"/>
      <c r="V155" s="42"/>
      <c r="W155" s="42"/>
      <c r="X155" s="58">
        <v>85</v>
      </c>
      <c r="Y155" s="59">
        <v>134</v>
      </c>
      <c r="Z155" s="74">
        <v>46196</v>
      </c>
    </row>
    <row r="156" spans="1:26" ht="23.4" x14ac:dyDescent="0.3">
      <c r="B156" s="29" t="s">
        <v>605</v>
      </c>
      <c r="C156" s="30" t="s">
        <v>606</v>
      </c>
      <c r="D156" s="47">
        <v>-13.540542240807705</v>
      </c>
      <c r="E156" s="47">
        <v>-71.923534300155126</v>
      </c>
      <c r="F156" s="72"/>
      <c r="G156" s="72"/>
      <c r="H156" s="100"/>
      <c r="I156" s="100"/>
      <c r="J156" s="50"/>
      <c r="K156" s="51" t="s">
        <v>607</v>
      </c>
      <c r="L156" s="52">
        <v>32</v>
      </c>
      <c r="M156" s="73">
        <v>32</v>
      </c>
      <c r="N156" s="104" t="s">
        <v>608</v>
      </c>
      <c r="O156" s="105" t="s">
        <v>609</v>
      </c>
      <c r="P156" s="61"/>
      <c r="Q156" s="61"/>
      <c r="R156" s="62"/>
      <c r="S156" s="62"/>
      <c r="T156" s="57"/>
      <c r="U156" s="41"/>
      <c r="V156" s="42"/>
      <c r="W156" s="42"/>
      <c r="X156" s="58">
        <v>86</v>
      </c>
      <c r="Y156" s="59">
        <v>135</v>
      </c>
      <c r="Z156" s="74">
        <v>46197</v>
      </c>
    </row>
    <row r="157" spans="1:26" ht="23.4" x14ac:dyDescent="0.3">
      <c r="B157" s="29" t="s">
        <v>610</v>
      </c>
      <c r="C157" s="30" t="s">
        <v>611</v>
      </c>
      <c r="D157" s="47">
        <v>-13.541708</v>
      </c>
      <c r="E157" s="47">
        <v>-71.924250119999996</v>
      </c>
      <c r="F157" s="72">
        <v>14574</v>
      </c>
      <c r="G157" s="72">
        <v>23</v>
      </c>
      <c r="H157" s="100" t="s">
        <v>612</v>
      </c>
      <c r="I157" s="100" t="s">
        <v>613</v>
      </c>
      <c r="J157" s="50">
        <v>2</v>
      </c>
      <c r="K157" s="51" t="s">
        <v>614</v>
      </c>
      <c r="L157" s="52">
        <v>33</v>
      </c>
      <c r="M157" s="73">
        <v>33</v>
      </c>
      <c r="N157" s="104" t="s">
        <v>615</v>
      </c>
      <c r="O157" s="105" t="s">
        <v>616</v>
      </c>
      <c r="P157" s="61"/>
      <c r="Q157" s="61"/>
      <c r="R157" s="62"/>
      <c r="S157" s="62"/>
      <c r="T157" s="57"/>
      <c r="U157" s="41"/>
      <c r="V157" s="42"/>
      <c r="W157" s="42"/>
      <c r="X157" s="58">
        <v>87</v>
      </c>
      <c r="Y157" s="59">
        <v>136</v>
      </c>
      <c r="Z157" s="74">
        <v>46197</v>
      </c>
    </row>
    <row r="158" spans="1:26" ht="23.4" x14ac:dyDescent="0.3">
      <c r="B158" s="29" t="s">
        <v>617</v>
      </c>
      <c r="C158" s="30" t="s">
        <v>618</v>
      </c>
      <c r="D158" s="47">
        <v>-13.540856494627368</v>
      </c>
      <c r="E158" s="47">
        <v>-71.92523668317753</v>
      </c>
      <c r="F158" s="72"/>
      <c r="G158" s="72"/>
      <c r="H158" s="100"/>
      <c r="I158" s="100"/>
      <c r="J158" s="50"/>
      <c r="K158" s="51"/>
      <c r="L158" s="52"/>
      <c r="M158" s="73"/>
      <c r="N158" s="104"/>
      <c r="O158" s="105"/>
      <c r="P158" s="61">
        <v>39</v>
      </c>
      <c r="Q158" s="61">
        <v>14041</v>
      </c>
      <c r="R158" s="62" t="s">
        <v>619</v>
      </c>
      <c r="S158" s="62" t="s">
        <v>620</v>
      </c>
      <c r="T158" s="57"/>
      <c r="U158" s="41"/>
      <c r="V158" s="42"/>
      <c r="W158" s="42"/>
      <c r="X158" s="69"/>
      <c r="Y158" s="70"/>
      <c r="Z158" s="74">
        <v>46197</v>
      </c>
    </row>
    <row r="159" spans="1:26" ht="23.4" x14ac:dyDescent="0.3">
      <c r="B159" s="29" t="s">
        <v>621</v>
      </c>
      <c r="C159" s="30" t="s">
        <v>622</v>
      </c>
      <c r="D159" s="47">
        <v>-13.540364463622629</v>
      </c>
      <c r="E159" s="47">
        <v>-71.924833725440124</v>
      </c>
      <c r="F159" s="72"/>
      <c r="G159" s="72"/>
      <c r="H159" s="100"/>
      <c r="I159" s="100"/>
      <c r="J159" s="50"/>
      <c r="K159" s="51"/>
      <c r="L159" s="52"/>
      <c r="M159" s="73"/>
      <c r="N159" s="104"/>
      <c r="O159" s="105"/>
      <c r="P159" s="61"/>
      <c r="Q159" s="61"/>
      <c r="R159" s="62"/>
      <c r="S159" s="62"/>
      <c r="T159" s="57"/>
      <c r="U159" s="41"/>
      <c r="V159" s="42"/>
      <c r="W159" s="42"/>
      <c r="X159" s="58">
        <v>88</v>
      </c>
      <c r="Y159" s="59">
        <v>137</v>
      </c>
      <c r="Z159" s="74">
        <v>46197</v>
      </c>
    </row>
    <row r="160" spans="1:26" ht="23.4" x14ac:dyDescent="0.3">
      <c r="B160" s="29" t="s">
        <v>623</v>
      </c>
      <c r="C160" s="30" t="s">
        <v>624</v>
      </c>
      <c r="D160" s="47">
        <v>-13.539360027449549</v>
      </c>
      <c r="E160" s="47">
        <v>-71.924996836913522</v>
      </c>
      <c r="F160" s="72"/>
      <c r="G160" s="72"/>
      <c r="H160" s="100"/>
      <c r="I160" s="100"/>
      <c r="J160" s="50"/>
      <c r="K160" s="51"/>
      <c r="L160" s="52"/>
      <c r="M160" s="73"/>
      <c r="N160" s="104"/>
      <c r="O160" s="105"/>
      <c r="P160" s="61"/>
      <c r="Q160" s="61"/>
      <c r="R160" s="62"/>
      <c r="S160" s="62"/>
      <c r="T160" s="57"/>
      <c r="U160" s="41"/>
      <c r="V160" s="42"/>
      <c r="W160" s="42"/>
      <c r="X160" s="58">
        <v>89</v>
      </c>
      <c r="Y160" s="59">
        <v>138</v>
      </c>
      <c r="Z160" s="74">
        <v>46198</v>
      </c>
    </row>
    <row r="161" spans="1:26" ht="23.4" x14ac:dyDescent="0.3">
      <c r="B161" s="46" t="s">
        <v>625</v>
      </c>
      <c r="C161" s="30" t="s">
        <v>626</v>
      </c>
      <c r="D161" s="47">
        <v>-13.539230806836516</v>
      </c>
      <c r="E161" s="47">
        <v>-71.926776865999656</v>
      </c>
      <c r="F161" s="72"/>
      <c r="G161" s="72"/>
      <c r="H161" s="100"/>
      <c r="I161" s="100"/>
      <c r="J161" s="50"/>
      <c r="K161" s="51"/>
      <c r="L161" s="52"/>
      <c r="M161" s="73"/>
      <c r="N161" s="104"/>
      <c r="O161" s="105"/>
      <c r="P161" s="61"/>
      <c r="Q161" s="61"/>
      <c r="R161" s="62"/>
      <c r="S161" s="62"/>
      <c r="T161" s="57"/>
      <c r="U161" s="41"/>
      <c r="V161" s="42"/>
      <c r="W161" s="42"/>
      <c r="X161" s="58">
        <v>90</v>
      </c>
      <c r="Y161" s="59">
        <v>139</v>
      </c>
      <c r="Z161" s="74">
        <v>46198</v>
      </c>
    </row>
    <row r="162" spans="1:26" ht="23.4" x14ac:dyDescent="0.3">
      <c r="B162" s="29" t="s">
        <v>627</v>
      </c>
      <c r="C162" s="30" t="s">
        <v>628</v>
      </c>
      <c r="D162" s="47">
        <v>-13.538731955378823</v>
      </c>
      <c r="E162" s="47">
        <v>-71.931580161730608</v>
      </c>
      <c r="F162" s="72"/>
      <c r="G162" s="72"/>
      <c r="H162" s="100"/>
      <c r="I162" s="100"/>
      <c r="J162" s="50"/>
      <c r="K162" s="51"/>
      <c r="L162" s="52"/>
      <c r="M162" s="73"/>
      <c r="N162" s="104"/>
      <c r="O162" s="105"/>
      <c r="P162" s="61"/>
      <c r="Q162" s="61"/>
      <c r="R162" s="62"/>
      <c r="S162" s="62"/>
      <c r="T162" s="57"/>
      <c r="U162" s="41"/>
      <c r="V162" s="42"/>
      <c r="W162" s="42"/>
      <c r="X162" s="58">
        <v>91</v>
      </c>
      <c r="Y162" s="59">
        <v>140</v>
      </c>
      <c r="Z162" s="74">
        <v>46198</v>
      </c>
    </row>
    <row r="163" spans="1:26" ht="23.4" x14ac:dyDescent="0.3">
      <c r="B163" s="214" t="s">
        <v>629</v>
      </c>
      <c r="C163" s="30" t="s">
        <v>630</v>
      </c>
      <c r="D163" s="47">
        <v>-13.540112203575758</v>
      </c>
      <c r="E163" s="47">
        <v>-71.931717079898561</v>
      </c>
      <c r="F163" s="72"/>
      <c r="G163" s="72"/>
      <c r="H163" s="100"/>
      <c r="I163" s="100"/>
      <c r="J163" s="50"/>
      <c r="K163" s="51" t="s">
        <v>631</v>
      </c>
      <c r="L163" s="52">
        <v>34</v>
      </c>
      <c r="M163" s="73">
        <v>34</v>
      </c>
      <c r="N163" s="104" t="s">
        <v>632</v>
      </c>
      <c r="O163" s="105" t="s">
        <v>633</v>
      </c>
      <c r="P163" s="61"/>
      <c r="Q163" s="61"/>
      <c r="R163" s="62"/>
      <c r="S163" s="62"/>
      <c r="T163" s="57"/>
      <c r="U163" s="41"/>
      <c r="V163" s="42"/>
      <c r="W163" s="42"/>
      <c r="X163" s="58">
        <v>92</v>
      </c>
      <c r="Y163" s="59">
        <v>141</v>
      </c>
      <c r="Z163" s="74">
        <v>46199</v>
      </c>
    </row>
    <row r="164" spans="1:26" ht="23.4" x14ac:dyDescent="0.3">
      <c r="B164" s="29" t="s">
        <v>634</v>
      </c>
      <c r="C164" s="30" t="s">
        <v>635</v>
      </c>
      <c r="D164" s="47">
        <v>-13.54033593377901</v>
      </c>
      <c r="E164" s="47">
        <v>-71.928812011088141</v>
      </c>
      <c r="F164" s="72">
        <v>14575</v>
      </c>
      <c r="G164" s="72">
        <v>24</v>
      </c>
      <c r="H164" s="100" t="s">
        <v>636</v>
      </c>
      <c r="I164" s="100" t="s">
        <v>637</v>
      </c>
      <c r="J164" s="50">
        <v>2</v>
      </c>
      <c r="K164" s="51"/>
      <c r="L164" s="52"/>
      <c r="M164" s="73"/>
      <c r="N164" s="104"/>
      <c r="O164" s="105"/>
      <c r="P164" s="61"/>
      <c r="Q164" s="61"/>
      <c r="R164" s="62"/>
      <c r="S164" s="62"/>
      <c r="T164" s="57">
        <v>122</v>
      </c>
      <c r="U164" s="41">
        <v>14113</v>
      </c>
      <c r="V164" s="42" t="s">
        <v>638</v>
      </c>
      <c r="W164" s="42" t="s">
        <v>639</v>
      </c>
      <c r="X164" s="69"/>
      <c r="Y164" s="70"/>
      <c r="Z164" s="74">
        <v>46199</v>
      </c>
    </row>
    <row r="165" spans="1:26" ht="23.4" x14ac:dyDescent="0.3">
      <c r="B165" s="29" t="s">
        <v>640</v>
      </c>
      <c r="C165" s="30" t="s">
        <v>641</v>
      </c>
      <c r="D165" s="47">
        <v>-13.540638046490546</v>
      </c>
      <c r="E165" s="47">
        <v>-71.926923319201393</v>
      </c>
      <c r="F165" s="72">
        <v>14576</v>
      </c>
      <c r="G165" s="72">
        <v>25</v>
      </c>
      <c r="H165" s="100" t="s">
        <v>642</v>
      </c>
      <c r="I165" s="100" t="s">
        <v>643</v>
      </c>
      <c r="J165" s="50">
        <v>2</v>
      </c>
      <c r="K165" s="51"/>
      <c r="L165" s="52"/>
      <c r="M165" s="73"/>
      <c r="N165" s="104"/>
      <c r="O165" s="105"/>
      <c r="P165" s="61">
        <v>40</v>
      </c>
      <c r="Q165" s="61">
        <v>14042</v>
      </c>
      <c r="R165" s="62" t="s">
        <v>644</v>
      </c>
      <c r="S165" s="62" t="s">
        <v>645</v>
      </c>
      <c r="T165" s="57"/>
      <c r="U165" s="41"/>
      <c r="V165" s="42"/>
      <c r="W165" s="42"/>
      <c r="X165" s="69"/>
      <c r="Y165" s="70"/>
      <c r="Z165" s="74">
        <v>46199</v>
      </c>
    </row>
    <row r="166" spans="1:26" ht="23.4" x14ac:dyDescent="0.3">
      <c r="B166" s="29" t="s">
        <v>646</v>
      </c>
      <c r="C166" s="30" t="s">
        <v>647</v>
      </c>
      <c r="D166" s="47">
        <v>-13.541458089666603</v>
      </c>
      <c r="E166" s="47">
        <v>-71.928622664102036</v>
      </c>
      <c r="F166" s="72"/>
      <c r="G166" s="72"/>
      <c r="H166" s="100"/>
      <c r="I166" s="100"/>
      <c r="J166" s="50"/>
      <c r="K166" s="51"/>
      <c r="L166" s="52"/>
      <c r="M166" s="73"/>
      <c r="N166" s="104"/>
      <c r="O166" s="105"/>
      <c r="P166" s="61"/>
      <c r="Q166" s="61"/>
      <c r="R166" s="62"/>
      <c r="S166" s="62"/>
      <c r="T166" s="57">
        <v>123</v>
      </c>
      <c r="U166" s="41">
        <v>14114</v>
      </c>
      <c r="V166" s="42" t="s">
        <v>648</v>
      </c>
      <c r="W166" s="42" t="s">
        <v>649</v>
      </c>
      <c r="X166" s="69"/>
      <c r="Y166" s="70"/>
      <c r="Z166" s="74">
        <v>46200</v>
      </c>
    </row>
    <row r="167" spans="1:26" ht="23.4" x14ac:dyDescent="0.3">
      <c r="B167" s="29" t="s">
        <v>650</v>
      </c>
      <c r="C167" s="30" t="s">
        <v>651</v>
      </c>
      <c r="D167" s="78">
        <v>-13.542709</v>
      </c>
      <c r="E167" s="78">
        <v>-71.931878999999995</v>
      </c>
      <c r="F167" s="72">
        <v>14577</v>
      </c>
      <c r="G167" s="72">
        <v>26</v>
      </c>
      <c r="H167" s="100" t="s">
        <v>652</v>
      </c>
      <c r="I167" s="100" t="s">
        <v>653</v>
      </c>
      <c r="J167" s="50">
        <v>2.5</v>
      </c>
      <c r="K167" s="51"/>
      <c r="L167" s="52"/>
      <c r="M167" s="73"/>
      <c r="N167" s="104"/>
      <c r="O167" s="105"/>
      <c r="P167" s="61"/>
      <c r="Q167" s="61"/>
      <c r="R167" s="62"/>
      <c r="S167" s="62"/>
      <c r="T167" s="57"/>
      <c r="U167" s="41"/>
      <c r="V167" s="42"/>
      <c r="W167" s="42"/>
      <c r="X167" s="58">
        <v>1</v>
      </c>
      <c r="Y167" s="59">
        <v>142</v>
      </c>
      <c r="Z167" s="74">
        <v>46203</v>
      </c>
    </row>
    <row r="168" spans="1:26" ht="23.4" x14ac:dyDescent="0.3">
      <c r="B168" s="204" t="s">
        <v>654</v>
      </c>
      <c r="C168" s="198" t="s">
        <v>655</v>
      </c>
      <c r="D168" s="199">
        <v>-13.54297582974565</v>
      </c>
      <c r="E168" s="199">
        <v>-71.923960990404439</v>
      </c>
      <c r="F168" s="72">
        <v>14578</v>
      </c>
      <c r="G168" s="72">
        <v>27</v>
      </c>
      <c r="H168" s="100" t="s">
        <v>656</v>
      </c>
      <c r="I168" s="100" t="s">
        <v>657</v>
      </c>
      <c r="J168" s="50">
        <v>2.5</v>
      </c>
      <c r="K168" s="51" t="s">
        <v>658</v>
      </c>
      <c r="L168" s="52">
        <v>35</v>
      </c>
      <c r="M168" s="73">
        <v>35</v>
      </c>
      <c r="N168" s="104" t="s">
        <v>659</v>
      </c>
      <c r="O168" s="105" t="s">
        <v>660</v>
      </c>
      <c r="P168" s="61"/>
      <c r="Q168" s="61"/>
      <c r="R168" s="62"/>
      <c r="S168" s="62"/>
      <c r="T168" s="57"/>
      <c r="U168" s="41"/>
      <c r="V168" s="42"/>
      <c r="W168" s="42"/>
      <c r="X168" s="58">
        <v>2</v>
      </c>
      <c r="Y168" s="59">
        <v>143</v>
      </c>
      <c r="Z168" s="74">
        <v>46207</v>
      </c>
    </row>
    <row r="169" spans="1:26" ht="23.4" x14ac:dyDescent="0.3">
      <c r="B169" s="29" t="s">
        <v>661</v>
      </c>
      <c r="C169" s="30" t="s">
        <v>662</v>
      </c>
      <c r="D169" s="47">
        <v>-13.544357460790748</v>
      </c>
      <c r="E169" s="47">
        <v>-71.926294948326671</v>
      </c>
      <c r="F169" s="72"/>
      <c r="G169" s="72"/>
      <c r="H169" s="100"/>
      <c r="I169" s="100"/>
      <c r="J169" s="50"/>
      <c r="K169" s="51"/>
      <c r="L169" s="52"/>
      <c r="M169" s="73"/>
      <c r="N169" s="104"/>
      <c r="O169" s="105"/>
      <c r="P169" s="61"/>
      <c r="Q169" s="61"/>
      <c r="R169" s="62"/>
      <c r="S169" s="62"/>
      <c r="T169" s="57">
        <v>124</v>
      </c>
      <c r="U169" s="41">
        <v>14115</v>
      </c>
      <c r="V169" s="42" t="s">
        <v>663</v>
      </c>
      <c r="W169" s="42" t="s">
        <v>664</v>
      </c>
      <c r="X169" s="69"/>
      <c r="Y169" s="70"/>
      <c r="Z169" s="74">
        <v>46207</v>
      </c>
    </row>
    <row r="170" spans="1:26" ht="23.4" x14ac:dyDescent="0.3">
      <c r="A170" s="233" t="s">
        <v>665</v>
      </c>
      <c r="B170" s="29" t="s">
        <v>666</v>
      </c>
      <c r="C170" s="30" t="s">
        <v>667</v>
      </c>
      <c r="D170" s="47">
        <v>-13.544579002292123</v>
      </c>
      <c r="E170" s="47">
        <v>-71.918164823354488</v>
      </c>
      <c r="F170" s="72"/>
      <c r="G170" s="72"/>
      <c r="H170" s="100"/>
      <c r="I170" s="100"/>
      <c r="J170" s="50"/>
      <c r="K170" s="51"/>
      <c r="L170" s="52"/>
      <c r="M170" s="73"/>
      <c r="N170" s="104"/>
      <c r="O170" s="105"/>
      <c r="P170" s="61"/>
      <c r="Q170" s="61"/>
      <c r="R170" s="62"/>
      <c r="S170" s="62"/>
      <c r="T170" s="57"/>
      <c r="U170" s="41"/>
      <c r="V170" s="42"/>
      <c r="W170" s="42"/>
      <c r="X170" s="58">
        <v>3</v>
      </c>
      <c r="Y170" s="59">
        <v>144</v>
      </c>
      <c r="Z170" s="74">
        <v>46229</v>
      </c>
    </row>
    <row r="171" spans="1:26" ht="23.4" x14ac:dyDescent="0.3">
      <c r="A171" s="233" t="s">
        <v>668</v>
      </c>
      <c r="B171" s="46" t="s">
        <v>669</v>
      </c>
      <c r="C171" s="30" t="s">
        <v>670</v>
      </c>
      <c r="D171" s="78">
        <v>-13.545351341450385</v>
      </c>
      <c r="E171" s="78">
        <v>-71.917768065266074</v>
      </c>
      <c r="F171" s="72"/>
      <c r="G171" s="72"/>
      <c r="H171" s="100"/>
      <c r="I171" s="100"/>
      <c r="J171" s="50"/>
      <c r="K171" s="51"/>
      <c r="L171" s="52"/>
      <c r="M171" s="73"/>
      <c r="N171" s="104"/>
      <c r="O171" s="105"/>
      <c r="P171" s="61">
        <v>41</v>
      </c>
      <c r="Q171" s="61">
        <v>14043</v>
      </c>
      <c r="R171" s="62" t="s">
        <v>671</v>
      </c>
      <c r="S171" s="62" t="s">
        <v>672</v>
      </c>
      <c r="T171" s="57"/>
      <c r="U171" s="41"/>
      <c r="V171" s="42"/>
      <c r="W171" s="42"/>
      <c r="X171" s="69"/>
      <c r="Y171" s="70"/>
      <c r="Z171" s="74">
        <v>46233</v>
      </c>
    </row>
    <row r="172" spans="1:26" ht="23.4" x14ac:dyDescent="0.3">
      <c r="B172" s="29" t="s">
        <v>673</v>
      </c>
      <c r="C172" s="30" t="s">
        <v>674</v>
      </c>
      <c r="D172" s="78">
        <v>-13.546686509750778</v>
      </c>
      <c r="E172" s="78">
        <v>-71.919446023283783</v>
      </c>
      <c r="F172" s="72"/>
      <c r="G172" s="72"/>
      <c r="H172" s="100"/>
      <c r="I172" s="100"/>
      <c r="J172" s="50"/>
      <c r="K172" s="51"/>
      <c r="L172" s="52"/>
      <c r="M172" s="73"/>
      <c r="N172" s="104"/>
      <c r="O172" s="105"/>
      <c r="P172" s="61">
        <v>42</v>
      </c>
      <c r="Q172" s="61">
        <v>14044</v>
      </c>
      <c r="R172" s="62" t="s">
        <v>675</v>
      </c>
      <c r="S172" s="62" t="s">
        <v>676</v>
      </c>
      <c r="T172" s="57"/>
      <c r="U172" s="41"/>
      <c r="V172" s="42"/>
      <c r="W172" s="42"/>
      <c r="X172" s="69"/>
      <c r="Y172" s="70"/>
      <c r="Z172" s="74">
        <v>46233</v>
      </c>
    </row>
    <row r="173" spans="1:26" ht="23.4" x14ac:dyDescent="0.3">
      <c r="B173" s="204" t="s">
        <v>677</v>
      </c>
      <c r="C173" s="198" t="s">
        <v>678</v>
      </c>
      <c r="D173" s="202">
        <v>-13.547880591472531</v>
      </c>
      <c r="E173" s="202">
        <v>-71.921602313798147</v>
      </c>
      <c r="F173" s="72"/>
      <c r="G173" s="72"/>
      <c r="H173" s="100"/>
      <c r="I173" s="100"/>
      <c r="J173" s="50"/>
      <c r="K173" s="51"/>
      <c r="L173" s="52"/>
      <c r="M173" s="73"/>
      <c r="N173" s="104"/>
      <c r="O173" s="105"/>
      <c r="P173" s="61"/>
      <c r="Q173" s="61"/>
      <c r="R173" s="62"/>
      <c r="S173" s="62"/>
      <c r="T173" s="57"/>
      <c r="U173" s="41"/>
      <c r="V173" s="42"/>
      <c r="W173" s="42"/>
      <c r="X173" s="58">
        <v>4</v>
      </c>
      <c r="Y173" s="59">
        <v>145</v>
      </c>
      <c r="Z173" s="74">
        <v>46233</v>
      </c>
    </row>
    <row r="174" spans="1:26" ht="23.4" x14ac:dyDescent="0.3">
      <c r="B174" s="29" t="s">
        <v>679</v>
      </c>
      <c r="C174" s="30" t="s">
        <v>680</v>
      </c>
      <c r="D174" s="78">
        <v>-13.545923117878319</v>
      </c>
      <c r="E174" s="78">
        <v>-71.923710852710926</v>
      </c>
      <c r="F174" s="72"/>
      <c r="G174" s="72"/>
      <c r="H174" s="100"/>
      <c r="I174" s="100"/>
      <c r="J174" s="50"/>
      <c r="K174" s="51"/>
      <c r="L174" s="52"/>
      <c r="M174" s="73"/>
      <c r="N174" s="104"/>
      <c r="O174" s="105"/>
      <c r="P174" s="61">
        <v>43</v>
      </c>
      <c r="Q174" s="61">
        <v>14045</v>
      </c>
      <c r="R174" s="62" t="s">
        <v>681</v>
      </c>
      <c r="S174" s="62" t="s">
        <v>682</v>
      </c>
      <c r="T174" s="57"/>
      <c r="U174" s="41"/>
      <c r="V174" s="42"/>
      <c r="W174" s="42"/>
      <c r="X174" s="69"/>
      <c r="Y174" s="70"/>
      <c r="Z174" s="74">
        <v>46234</v>
      </c>
    </row>
    <row r="175" spans="1:26" ht="23.4" x14ac:dyDescent="0.3">
      <c r="B175" s="29" t="s">
        <v>683</v>
      </c>
      <c r="C175" s="30" t="s">
        <v>684</v>
      </c>
      <c r="D175" s="47">
        <v>-13.547006730702893</v>
      </c>
      <c r="E175" s="47">
        <v>-71.924499544435548</v>
      </c>
      <c r="F175" s="72"/>
      <c r="G175" s="72"/>
      <c r="H175" s="100"/>
      <c r="I175" s="100"/>
      <c r="J175" s="50"/>
      <c r="K175" s="51"/>
      <c r="L175" s="52"/>
      <c r="M175" s="73"/>
      <c r="N175" s="104"/>
      <c r="O175" s="105"/>
      <c r="P175" s="61"/>
      <c r="Q175" s="61"/>
      <c r="R175" s="62"/>
      <c r="S175" s="62"/>
      <c r="T175" s="57"/>
      <c r="U175" s="41"/>
      <c r="V175" s="42"/>
      <c r="W175" s="42"/>
      <c r="X175" s="58">
        <v>5</v>
      </c>
      <c r="Y175" s="59">
        <v>146</v>
      </c>
      <c r="Z175" s="74">
        <v>46234</v>
      </c>
    </row>
    <row r="176" spans="1:26" ht="23.4" x14ac:dyDescent="0.3">
      <c r="B176" s="29" t="s">
        <v>685</v>
      </c>
      <c r="C176" s="30" t="s">
        <v>686</v>
      </c>
      <c r="D176" s="47">
        <v>-13.548306097937392</v>
      </c>
      <c r="E176" s="47">
        <v>-71.925373967231394</v>
      </c>
      <c r="F176" s="72"/>
      <c r="G176" s="72"/>
      <c r="H176" s="100"/>
      <c r="I176" s="100"/>
      <c r="J176" s="50"/>
      <c r="K176" s="51"/>
      <c r="L176" s="52"/>
      <c r="M176" s="73"/>
      <c r="N176" s="104"/>
      <c r="O176" s="105"/>
      <c r="P176" s="61"/>
      <c r="Q176" s="61"/>
      <c r="R176" s="62"/>
      <c r="S176" s="62"/>
      <c r="T176" s="57"/>
      <c r="U176" s="41"/>
      <c r="V176" s="42"/>
      <c r="W176" s="42"/>
      <c r="X176" s="58">
        <v>6</v>
      </c>
      <c r="Y176" s="59">
        <v>147</v>
      </c>
      <c r="Z176" s="74">
        <v>46234</v>
      </c>
    </row>
    <row r="177" spans="1:26" ht="23.4" x14ac:dyDescent="0.3">
      <c r="A177" s="102" t="s">
        <v>687</v>
      </c>
      <c r="B177" s="46" t="s">
        <v>688</v>
      </c>
      <c r="C177" s="30" t="s">
        <v>689</v>
      </c>
      <c r="D177" s="47">
        <v>-13.547055678038681</v>
      </c>
      <c r="E177" s="47">
        <v>-71.927260343052609</v>
      </c>
      <c r="F177" s="72"/>
      <c r="G177" s="72"/>
      <c r="H177" s="100"/>
      <c r="I177" s="100"/>
      <c r="J177" s="50"/>
      <c r="K177" s="51"/>
      <c r="L177" s="52"/>
      <c r="M177" s="73"/>
      <c r="N177" s="104"/>
      <c r="O177" s="105"/>
      <c r="P177" s="61">
        <v>44</v>
      </c>
      <c r="Q177" s="61">
        <v>14046</v>
      </c>
      <c r="R177" s="62" t="s">
        <v>690</v>
      </c>
      <c r="S177" s="62" t="s">
        <v>691</v>
      </c>
      <c r="T177" s="57"/>
      <c r="U177" s="41"/>
      <c r="V177" s="42"/>
      <c r="W177" s="42"/>
      <c r="X177" s="69"/>
      <c r="Y177" s="70"/>
      <c r="Z177" s="74">
        <v>46234</v>
      </c>
    </row>
    <row r="178" spans="1:26" ht="23.4" x14ac:dyDescent="0.3">
      <c r="B178" s="29" t="s">
        <v>692</v>
      </c>
      <c r="C178" s="30" t="s">
        <v>693</v>
      </c>
      <c r="D178" s="47">
        <v>-13.545384171622944</v>
      </c>
      <c r="E178" s="47">
        <v>-71.928855367636885</v>
      </c>
      <c r="F178" s="72"/>
      <c r="G178" s="72"/>
      <c r="H178" s="100"/>
      <c r="I178" s="100"/>
      <c r="J178" s="50"/>
      <c r="K178" s="51"/>
      <c r="L178" s="52"/>
      <c r="M178" s="73"/>
      <c r="N178" s="104"/>
      <c r="O178" s="105"/>
      <c r="P178" s="61"/>
      <c r="Q178" s="61"/>
      <c r="R178" s="62"/>
      <c r="S178" s="62"/>
      <c r="T178" s="57"/>
      <c r="U178" s="41"/>
      <c r="V178" s="42"/>
      <c r="W178" s="42"/>
      <c r="X178" s="58">
        <v>7</v>
      </c>
      <c r="Y178" s="59">
        <v>148</v>
      </c>
      <c r="Z178" s="74">
        <v>46234</v>
      </c>
    </row>
    <row r="179" spans="1:26" ht="23.4" x14ac:dyDescent="0.3">
      <c r="B179" s="29" t="s">
        <v>694</v>
      </c>
      <c r="C179" s="30" t="s">
        <v>695</v>
      </c>
      <c r="D179" s="47">
        <v>-13.546793509225905</v>
      </c>
      <c r="E179" s="47">
        <v>-71.92959267980433</v>
      </c>
      <c r="F179" s="234"/>
      <c r="G179" s="234"/>
      <c r="H179" s="235"/>
      <c r="I179" s="235"/>
      <c r="J179" s="236"/>
      <c r="K179" s="237"/>
      <c r="L179" s="238"/>
      <c r="M179" s="239"/>
      <c r="N179" s="240"/>
      <c r="O179" s="241"/>
      <c r="P179" s="61">
        <v>45</v>
      </c>
      <c r="Q179" s="61">
        <v>14047</v>
      </c>
      <c r="R179" s="62" t="s">
        <v>696</v>
      </c>
      <c r="S179" s="62" t="s">
        <v>697</v>
      </c>
      <c r="T179" s="57"/>
      <c r="U179" s="41"/>
      <c r="V179" s="42"/>
      <c r="W179" s="42"/>
      <c r="X179" s="69"/>
      <c r="Y179" s="70"/>
      <c r="Z179" s="74">
        <v>46235</v>
      </c>
    </row>
    <row r="180" spans="1:26" ht="23.4" x14ac:dyDescent="0.3">
      <c r="B180" s="29" t="s">
        <v>698</v>
      </c>
      <c r="C180" s="30" t="s">
        <v>699</v>
      </c>
      <c r="D180" s="78">
        <v>-13.543017000000001</v>
      </c>
      <c r="E180" s="242">
        <v>-71.930432999999994</v>
      </c>
      <c r="F180" s="243"/>
      <c r="G180" s="243"/>
      <c r="H180" s="244"/>
      <c r="I180" s="244"/>
      <c r="J180" s="245"/>
      <c r="K180" s="246"/>
      <c r="L180" s="247"/>
      <c r="M180" s="248"/>
      <c r="N180" s="249"/>
      <c r="O180" s="250"/>
      <c r="P180" s="251"/>
      <c r="Q180" s="61"/>
      <c r="R180" s="62"/>
      <c r="S180" s="62"/>
      <c r="T180" s="57"/>
      <c r="U180" s="41"/>
      <c r="V180" s="42"/>
      <c r="W180" s="42"/>
      <c r="X180" s="58">
        <v>8</v>
      </c>
      <c r="Y180" s="59">
        <v>149</v>
      </c>
      <c r="Z180" s="74">
        <v>46227</v>
      </c>
    </row>
    <row r="181" spans="1:26" ht="23.4" x14ac:dyDescent="0.3">
      <c r="B181" s="46" t="s">
        <v>700</v>
      </c>
      <c r="C181" s="30" t="s">
        <v>695</v>
      </c>
      <c r="D181" s="47">
        <v>-13.544592811535606</v>
      </c>
      <c r="E181" s="252">
        <v>-71.931642762244508</v>
      </c>
      <c r="F181" s="243"/>
      <c r="G181" s="243"/>
      <c r="H181" s="244"/>
      <c r="I181" s="244"/>
      <c r="J181" s="245"/>
      <c r="K181" s="253"/>
      <c r="L181" s="36"/>
      <c r="M181" s="254"/>
      <c r="N181" s="255"/>
      <c r="O181" s="256"/>
      <c r="P181" s="61"/>
      <c r="Q181" s="61"/>
      <c r="R181" s="62"/>
      <c r="S181" s="62"/>
      <c r="T181" s="57">
        <v>125</v>
      </c>
      <c r="U181" s="41">
        <v>14116</v>
      </c>
      <c r="V181" s="42" t="s">
        <v>701</v>
      </c>
      <c r="W181" s="42" t="s">
        <v>702</v>
      </c>
      <c r="X181" s="69"/>
      <c r="Y181" s="70"/>
      <c r="Z181" s="74">
        <v>46235</v>
      </c>
    </row>
    <row r="182" spans="1:26" ht="23.4" x14ac:dyDescent="0.3">
      <c r="B182" s="180" t="s">
        <v>703</v>
      </c>
      <c r="C182" s="181" t="s">
        <v>704</v>
      </c>
      <c r="D182" s="167">
        <v>-13.541935</v>
      </c>
      <c r="E182" s="167">
        <v>-71.918913000000003</v>
      </c>
      <c r="F182" s="257"/>
      <c r="G182" s="257"/>
      <c r="H182" s="258"/>
      <c r="I182" s="258"/>
      <c r="J182" s="259"/>
      <c r="K182" s="185"/>
      <c r="L182" s="186"/>
      <c r="M182" s="187"/>
      <c r="N182" s="260"/>
      <c r="O182" s="261"/>
      <c r="P182" s="186"/>
      <c r="Q182" s="186"/>
      <c r="R182" s="189"/>
      <c r="S182" s="189"/>
      <c r="T182" s="190"/>
      <c r="U182" s="184"/>
      <c r="V182" s="191"/>
      <c r="W182" s="191"/>
      <c r="X182" s="262">
        <v>9</v>
      </c>
      <c r="Y182" s="263">
        <v>150</v>
      </c>
      <c r="Z182" s="74">
        <v>46196</v>
      </c>
    </row>
    <row r="183" spans="1:26" ht="23.4" x14ac:dyDescent="0.3">
      <c r="B183" s="46" t="s">
        <v>705</v>
      </c>
      <c r="C183" s="30" t="s">
        <v>706</v>
      </c>
      <c r="D183" s="47">
        <v>-13.542852684496276</v>
      </c>
      <c r="E183" s="47">
        <v>-71.917497565868203</v>
      </c>
      <c r="F183" s="72"/>
      <c r="G183" s="72"/>
      <c r="H183" s="100"/>
      <c r="I183" s="100"/>
      <c r="J183" s="50"/>
      <c r="K183" s="51"/>
      <c r="L183" s="52"/>
      <c r="M183" s="73"/>
      <c r="N183" s="104"/>
      <c r="O183" s="105"/>
      <c r="P183" s="61"/>
      <c r="Q183" s="61"/>
      <c r="R183" s="62"/>
      <c r="S183" s="62"/>
      <c r="T183" s="57">
        <v>126</v>
      </c>
      <c r="U183" s="41">
        <v>14117</v>
      </c>
      <c r="V183" s="42" t="s">
        <v>707</v>
      </c>
      <c r="W183" s="42" t="s">
        <v>708</v>
      </c>
      <c r="X183" s="69"/>
      <c r="Y183" s="70"/>
      <c r="Z183" s="74">
        <v>46229</v>
      </c>
    </row>
    <row r="184" spans="1:26" ht="23.4" x14ac:dyDescent="0.3">
      <c r="B184" s="180" t="s">
        <v>709</v>
      </c>
      <c r="C184" s="181" t="s">
        <v>710</v>
      </c>
      <c r="D184" s="167">
        <v>-13.541815</v>
      </c>
      <c r="E184" s="167">
        <v>-71.915398999999994</v>
      </c>
      <c r="F184" s="182">
        <v>14580</v>
      </c>
      <c r="G184" s="182">
        <v>29</v>
      </c>
      <c r="H184" s="183" t="s">
        <v>711</v>
      </c>
      <c r="I184" s="183" t="s">
        <v>712</v>
      </c>
      <c r="J184" s="184">
        <v>2.5</v>
      </c>
      <c r="K184" s="185"/>
      <c r="L184" s="186"/>
      <c r="M184" s="187"/>
      <c r="N184" s="260"/>
      <c r="O184" s="261"/>
      <c r="P184" s="186"/>
      <c r="Q184" s="186"/>
      <c r="R184" s="189"/>
      <c r="S184" s="189"/>
      <c r="T184" s="190"/>
      <c r="U184" s="184"/>
      <c r="V184" s="191"/>
      <c r="W184" s="191"/>
      <c r="X184" s="262">
        <v>10</v>
      </c>
      <c r="Y184" s="263">
        <v>151</v>
      </c>
      <c r="Z184" s="74">
        <v>46195</v>
      </c>
    </row>
    <row r="185" spans="1:26" ht="23.4" x14ac:dyDescent="0.3">
      <c r="B185" s="46" t="s">
        <v>713</v>
      </c>
      <c r="C185" s="30" t="s">
        <v>714</v>
      </c>
      <c r="D185" s="78">
        <v>-13.544732756707624</v>
      </c>
      <c r="E185" s="78">
        <v>-71.920465317222011</v>
      </c>
      <c r="F185" s="72"/>
      <c r="G185" s="72"/>
      <c r="H185" s="100"/>
      <c r="I185" s="100"/>
      <c r="J185" s="50"/>
      <c r="K185" s="51"/>
      <c r="L185" s="52"/>
      <c r="M185" s="73"/>
      <c r="N185" s="104"/>
      <c r="O185" s="105"/>
      <c r="P185" s="61"/>
      <c r="Q185" s="61"/>
      <c r="R185" s="62"/>
      <c r="S185" s="62"/>
      <c r="T185" s="57"/>
      <c r="U185" s="41"/>
      <c r="V185" s="42"/>
      <c r="W185" s="42"/>
      <c r="X185" s="58">
        <v>11</v>
      </c>
      <c r="Y185" s="59">
        <v>152</v>
      </c>
      <c r="Z185" s="74">
        <v>46233</v>
      </c>
    </row>
    <row r="186" spans="1:26" ht="23.4" x14ac:dyDescent="0.3">
      <c r="B186" s="29" t="s">
        <v>715</v>
      </c>
      <c r="C186" s="30" t="s">
        <v>716</v>
      </c>
      <c r="D186" s="47">
        <v>-13.543171488067696</v>
      </c>
      <c r="E186" s="47">
        <v>-71.921904800504521</v>
      </c>
      <c r="F186" s="72"/>
      <c r="G186" s="72"/>
      <c r="H186" s="100"/>
      <c r="I186" s="100"/>
      <c r="J186" s="50"/>
      <c r="K186" s="51"/>
      <c r="L186" s="52"/>
      <c r="M186" s="73"/>
      <c r="N186" s="104"/>
      <c r="O186" s="105"/>
      <c r="P186" s="61"/>
      <c r="Q186" s="61"/>
      <c r="R186" s="62"/>
      <c r="S186" s="62"/>
      <c r="T186" s="57">
        <v>127</v>
      </c>
      <c r="U186" s="41">
        <v>14118</v>
      </c>
      <c r="V186" s="42" t="s">
        <v>717</v>
      </c>
      <c r="W186" s="42" t="s">
        <v>718</v>
      </c>
      <c r="X186" s="69"/>
      <c r="Y186" s="70"/>
      <c r="Z186" s="74">
        <v>46206</v>
      </c>
    </row>
    <row r="187" spans="1:26" ht="23.4" x14ac:dyDescent="0.3">
      <c r="B187" s="46" t="s">
        <v>719</v>
      </c>
      <c r="C187" s="30" t="s">
        <v>720</v>
      </c>
      <c r="D187" s="78">
        <v>-13.547801876099626</v>
      </c>
      <c r="E187" s="78">
        <v>-71.91674557436049</v>
      </c>
      <c r="F187" s="72"/>
      <c r="G187" s="72"/>
      <c r="H187" s="100"/>
      <c r="I187" s="100"/>
      <c r="J187" s="50"/>
      <c r="K187" s="51"/>
      <c r="L187" s="52"/>
      <c r="M187" s="73"/>
      <c r="N187" s="104"/>
      <c r="O187" s="105"/>
      <c r="P187" s="61"/>
      <c r="Q187" s="61"/>
      <c r="R187" s="62"/>
      <c r="S187" s="62"/>
      <c r="T187" s="57"/>
      <c r="U187" s="41"/>
      <c r="V187" s="42"/>
      <c r="W187" s="42"/>
      <c r="X187" s="58">
        <v>12</v>
      </c>
      <c r="Y187" s="59">
        <v>153</v>
      </c>
      <c r="Z187" s="74">
        <v>46227</v>
      </c>
    </row>
    <row r="188" spans="1:26" ht="23.4" x14ac:dyDescent="0.3">
      <c r="B188" s="29" t="s">
        <v>721</v>
      </c>
      <c r="C188" s="30" t="s">
        <v>722</v>
      </c>
      <c r="D188" s="47">
        <v>-13.546006306425797</v>
      </c>
      <c r="E188" s="47">
        <v>-71.916594430094293</v>
      </c>
      <c r="F188" s="72"/>
      <c r="G188" s="72"/>
      <c r="H188" s="100"/>
      <c r="I188" s="100"/>
      <c r="J188" s="50"/>
      <c r="K188" s="51"/>
      <c r="L188" s="52"/>
      <c r="M188" s="73"/>
      <c r="N188" s="104"/>
      <c r="O188" s="105"/>
      <c r="P188" s="61">
        <v>46</v>
      </c>
      <c r="Q188" s="61">
        <v>14048</v>
      </c>
      <c r="R188" s="62" t="s">
        <v>723</v>
      </c>
      <c r="S188" s="62" t="s">
        <v>724</v>
      </c>
      <c r="T188" s="57"/>
      <c r="U188" s="41"/>
      <c r="V188" s="42"/>
      <c r="W188" s="42"/>
      <c r="X188" s="69"/>
      <c r="Y188" s="70"/>
      <c r="Z188" s="74">
        <v>46198</v>
      </c>
    </row>
    <row r="189" spans="1:26" ht="23.4" x14ac:dyDescent="0.3">
      <c r="B189" s="46" t="s">
        <v>725</v>
      </c>
      <c r="C189" s="30" t="s">
        <v>726</v>
      </c>
      <c r="D189" s="47">
        <v>-13.543855743110541</v>
      </c>
      <c r="E189" s="47">
        <v>-71.91667897778656</v>
      </c>
      <c r="F189" s="72"/>
      <c r="G189" s="72"/>
      <c r="H189" s="100"/>
      <c r="I189" s="100"/>
      <c r="J189" s="50"/>
      <c r="K189" s="51"/>
      <c r="L189" s="52"/>
      <c r="M189" s="73"/>
      <c r="N189" s="104"/>
      <c r="O189" s="105"/>
      <c r="P189" s="61">
        <v>47</v>
      </c>
      <c r="Q189" s="61">
        <v>14049</v>
      </c>
      <c r="R189" s="62" t="s">
        <v>727</v>
      </c>
      <c r="S189" s="62" t="s">
        <v>728</v>
      </c>
      <c r="T189" s="57"/>
      <c r="U189" s="41"/>
      <c r="V189" s="42"/>
      <c r="W189" s="42"/>
      <c r="X189" s="69"/>
      <c r="Y189" s="70"/>
      <c r="Z189" s="74">
        <v>46198</v>
      </c>
    </row>
    <row r="190" spans="1:26" ht="23.4" x14ac:dyDescent="0.3">
      <c r="B190" s="29" t="s">
        <v>729</v>
      </c>
      <c r="C190" s="30" t="s">
        <v>730</v>
      </c>
      <c r="D190" s="78">
        <v>-13.544654898302369</v>
      </c>
      <c r="E190" s="78">
        <v>-71.913983917571755</v>
      </c>
      <c r="F190" s="72"/>
      <c r="G190" s="72"/>
      <c r="H190" s="100"/>
      <c r="I190" s="100"/>
      <c r="J190" s="50"/>
      <c r="K190" s="51"/>
      <c r="L190" s="52"/>
      <c r="M190" s="73"/>
      <c r="N190" s="104"/>
      <c r="O190" s="105"/>
      <c r="P190" s="61">
        <v>48</v>
      </c>
      <c r="Q190" s="61">
        <v>14050</v>
      </c>
      <c r="R190" s="62" t="s">
        <v>731</v>
      </c>
      <c r="S190" s="62" t="s">
        <v>732</v>
      </c>
      <c r="T190" s="57"/>
      <c r="U190" s="41"/>
      <c r="V190" s="42"/>
      <c r="W190" s="42"/>
      <c r="X190" s="69"/>
      <c r="Y190" s="70"/>
      <c r="Z190" s="74">
        <v>46227</v>
      </c>
    </row>
    <row r="191" spans="1:26" ht="23.4" x14ac:dyDescent="0.3">
      <c r="B191" s="264" t="s">
        <v>733</v>
      </c>
      <c r="C191" s="201" t="s">
        <v>734</v>
      </c>
      <c r="D191" s="202">
        <v>-13.54388721203162</v>
      </c>
      <c r="E191" s="202">
        <v>-71.912432918290236</v>
      </c>
      <c r="F191" s="79"/>
      <c r="G191" s="79"/>
      <c r="H191" s="94"/>
      <c r="I191" s="94"/>
      <c r="J191" s="81"/>
      <c r="K191" s="82"/>
      <c r="L191" s="83"/>
      <c r="M191" s="203"/>
      <c r="N191" s="265"/>
      <c r="O191" s="266"/>
      <c r="P191" s="86">
        <v>49</v>
      </c>
      <c r="Q191" s="86">
        <v>14051</v>
      </c>
      <c r="R191" s="87" t="s">
        <v>735</v>
      </c>
      <c r="S191" s="87" t="s">
        <v>736</v>
      </c>
      <c r="T191" s="88"/>
      <c r="U191" s="89"/>
      <c r="V191" s="90"/>
      <c r="W191" s="90"/>
      <c r="X191" s="98"/>
      <c r="Y191" s="99"/>
      <c r="Z191" s="74">
        <v>46226</v>
      </c>
    </row>
    <row r="192" spans="1:26" ht="23.4" x14ac:dyDescent="0.3">
      <c r="B192" s="267" t="s">
        <v>737</v>
      </c>
      <c r="C192" s="77" t="s">
        <v>738</v>
      </c>
      <c r="D192" s="78">
        <v>-13.543088546539806</v>
      </c>
      <c r="E192" s="78">
        <v>-71.911989317423661</v>
      </c>
      <c r="F192" s="79"/>
      <c r="G192" s="79"/>
      <c r="H192" s="94"/>
      <c r="I192" s="94"/>
      <c r="J192" s="81"/>
      <c r="K192" s="82"/>
      <c r="L192" s="83"/>
      <c r="M192" s="203"/>
      <c r="N192" s="265"/>
      <c r="O192" s="266"/>
      <c r="P192" s="86">
        <v>50</v>
      </c>
      <c r="Q192" s="86">
        <v>14052</v>
      </c>
      <c r="R192" s="87" t="s">
        <v>739</v>
      </c>
      <c r="S192" s="87" t="s">
        <v>740</v>
      </c>
      <c r="T192" s="88"/>
      <c r="U192" s="89"/>
      <c r="V192" s="90"/>
      <c r="W192" s="90"/>
      <c r="X192" s="98"/>
      <c r="Y192" s="99"/>
      <c r="Z192" s="74">
        <v>46226</v>
      </c>
    </row>
    <row r="193" spans="2:26" ht="23.4" x14ac:dyDescent="0.3">
      <c r="B193" s="46" t="s">
        <v>741</v>
      </c>
      <c r="C193" s="30" t="s">
        <v>742</v>
      </c>
      <c r="D193" s="47">
        <v>-13.541681929999999</v>
      </c>
      <c r="E193" s="47">
        <v>-71.911012130000003</v>
      </c>
      <c r="F193" s="72"/>
      <c r="G193" s="72"/>
      <c r="H193" s="49"/>
      <c r="I193" s="49"/>
      <c r="J193" s="50"/>
      <c r="K193" s="51"/>
      <c r="L193" s="52"/>
      <c r="M193" s="73"/>
      <c r="N193" s="104"/>
      <c r="O193" s="105"/>
      <c r="P193" s="61"/>
      <c r="Q193" s="61"/>
      <c r="R193" s="62"/>
      <c r="S193" s="62"/>
      <c r="T193" s="57"/>
      <c r="U193" s="41"/>
      <c r="V193" s="42"/>
      <c r="W193" s="42"/>
      <c r="X193" s="58">
        <v>13</v>
      </c>
      <c r="Y193" s="59">
        <v>154</v>
      </c>
      <c r="Z193" s="74">
        <v>46193</v>
      </c>
    </row>
    <row r="194" spans="2:26" ht="23.4" x14ac:dyDescent="0.3">
      <c r="B194" s="29" t="s">
        <v>743</v>
      </c>
      <c r="C194" s="30" t="s">
        <v>744</v>
      </c>
      <c r="D194" s="47">
        <v>-13.540308207236292</v>
      </c>
      <c r="E194" s="47">
        <v>-71.932716443963557</v>
      </c>
      <c r="F194" s="72"/>
      <c r="G194" s="72"/>
      <c r="H194" s="100"/>
      <c r="I194" s="100"/>
      <c r="J194" s="50"/>
      <c r="K194" s="51"/>
      <c r="L194" s="52"/>
      <c r="M194" s="73"/>
      <c r="N194" s="104"/>
      <c r="O194" s="105"/>
      <c r="P194" s="61">
        <v>51</v>
      </c>
      <c r="Q194" s="61">
        <v>14053</v>
      </c>
      <c r="R194" s="62" t="s">
        <v>745</v>
      </c>
      <c r="S194" s="62" t="s">
        <v>746</v>
      </c>
      <c r="T194" s="57"/>
      <c r="U194" s="41"/>
      <c r="V194" s="42"/>
      <c r="W194" s="42"/>
      <c r="X194" s="69"/>
      <c r="Y194" s="70"/>
      <c r="Z194" s="74">
        <v>46204</v>
      </c>
    </row>
    <row r="195" spans="2:26" ht="23.4" x14ac:dyDescent="0.3">
      <c r="B195" s="46" t="s">
        <v>747</v>
      </c>
      <c r="C195" s="30" t="s">
        <v>748</v>
      </c>
      <c r="D195" s="47">
        <v>-13.53852799206309</v>
      </c>
      <c r="E195" s="47">
        <v>-71.934337747998626</v>
      </c>
      <c r="F195" s="72"/>
      <c r="G195" s="72"/>
      <c r="H195" s="100"/>
      <c r="I195" s="100"/>
      <c r="J195" s="50"/>
      <c r="K195" s="51"/>
      <c r="L195" s="52"/>
      <c r="M195" s="73"/>
      <c r="N195" s="104"/>
      <c r="O195" s="105"/>
      <c r="P195" s="61"/>
      <c r="Q195" s="61"/>
      <c r="R195" s="62"/>
      <c r="S195" s="62"/>
      <c r="T195" s="57">
        <v>128</v>
      </c>
      <c r="U195" s="41">
        <v>14119</v>
      </c>
      <c r="V195" s="42" t="s">
        <v>749</v>
      </c>
      <c r="W195" s="42" t="s">
        <v>750</v>
      </c>
      <c r="X195" s="69"/>
      <c r="Y195" s="70"/>
      <c r="Z195" s="74">
        <v>46203</v>
      </c>
    </row>
    <row r="196" spans="2:26" ht="23.4" x14ac:dyDescent="0.3">
      <c r="B196" s="29" t="s">
        <v>751</v>
      </c>
      <c r="C196" s="30" t="s">
        <v>752</v>
      </c>
      <c r="D196" s="47">
        <v>-13.540578176564612</v>
      </c>
      <c r="E196" s="47">
        <v>-71.935876798310261</v>
      </c>
      <c r="F196" s="72"/>
      <c r="G196" s="72"/>
      <c r="H196" s="100"/>
      <c r="I196" s="100"/>
      <c r="J196" s="50"/>
      <c r="K196" s="51"/>
      <c r="L196" s="52"/>
      <c r="M196" s="73"/>
      <c r="N196" s="53"/>
      <c r="O196" s="54"/>
      <c r="P196" s="61"/>
      <c r="Q196" s="61"/>
      <c r="R196" s="62"/>
      <c r="S196" s="62"/>
      <c r="T196" s="57"/>
      <c r="U196" s="41"/>
      <c r="V196" s="42"/>
      <c r="W196" s="42"/>
      <c r="X196" s="58">
        <v>14</v>
      </c>
      <c r="Y196" s="59">
        <v>155</v>
      </c>
      <c r="Z196" s="74">
        <v>46204</v>
      </c>
    </row>
    <row r="197" spans="2:26" ht="23.4" x14ac:dyDescent="0.3">
      <c r="B197" s="29" t="s">
        <v>753</v>
      </c>
      <c r="C197" s="30" t="s">
        <v>754</v>
      </c>
      <c r="D197" s="47">
        <v>-13.54185843</v>
      </c>
      <c r="E197" s="47">
        <v>-71.936067899999998</v>
      </c>
      <c r="F197" s="72">
        <v>14581</v>
      </c>
      <c r="G197" s="72">
        <v>30</v>
      </c>
      <c r="H197" s="100" t="s">
        <v>755</v>
      </c>
      <c r="I197" s="100" t="s">
        <v>756</v>
      </c>
      <c r="J197" s="50">
        <v>2</v>
      </c>
      <c r="K197" s="51"/>
      <c r="L197" s="52"/>
      <c r="M197" s="73"/>
      <c r="N197" s="104"/>
      <c r="O197" s="105"/>
      <c r="P197" s="61">
        <v>52</v>
      </c>
      <c r="Q197" s="61">
        <v>14054</v>
      </c>
      <c r="R197" s="62" t="s">
        <v>757</v>
      </c>
      <c r="S197" s="62" t="s">
        <v>758</v>
      </c>
      <c r="T197" s="57"/>
      <c r="U197" s="41"/>
      <c r="V197" s="42"/>
      <c r="W197" s="42"/>
      <c r="X197" s="69"/>
      <c r="Y197" s="70"/>
      <c r="Z197" s="74">
        <v>46203</v>
      </c>
    </row>
    <row r="198" spans="2:26" ht="23.4" x14ac:dyDescent="0.3">
      <c r="B198" s="29" t="s">
        <v>759</v>
      </c>
      <c r="C198" s="30" t="s">
        <v>760</v>
      </c>
      <c r="D198" s="47">
        <v>-13.53979649441286</v>
      </c>
      <c r="E198" s="47">
        <v>-71.937067245184764</v>
      </c>
      <c r="F198" s="72"/>
      <c r="G198" s="72"/>
      <c r="H198" s="100"/>
      <c r="I198" s="100"/>
      <c r="J198" s="50"/>
      <c r="K198" s="51"/>
      <c r="L198" s="52">
        <v>36</v>
      </c>
      <c r="M198" s="73">
        <v>36</v>
      </c>
      <c r="N198" s="104" t="s">
        <v>761</v>
      </c>
      <c r="O198" s="105" t="s">
        <v>762</v>
      </c>
      <c r="P198" s="61">
        <v>53</v>
      </c>
      <c r="Q198" s="61">
        <v>14055</v>
      </c>
      <c r="R198" s="62" t="s">
        <v>763</v>
      </c>
      <c r="S198" s="62" t="s">
        <v>764</v>
      </c>
      <c r="T198" s="57"/>
      <c r="U198" s="41"/>
      <c r="V198" s="42"/>
      <c r="W198" s="42"/>
      <c r="X198" s="69"/>
      <c r="Y198" s="70"/>
      <c r="Z198" s="74">
        <v>46203</v>
      </c>
    </row>
    <row r="199" spans="2:26" ht="23.4" x14ac:dyDescent="0.3">
      <c r="B199" s="29" t="s">
        <v>765</v>
      </c>
      <c r="C199" s="30" t="s">
        <v>766</v>
      </c>
      <c r="D199" s="47">
        <v>-13.540090725030332</v>
      </c>
      <c r="E199" s="47">
        <v>-71.938160125152223</v>
      </c>
      <c r="F199" s="72">
        <v>14582</v>
      </c>
      <c r="G199" s="72">
        <v>31</v>
      </c>
      <c r="H199" s="100" t="s">
        <v>767</v>
      </c>
      <c r="I199" s="100" t="s">
        <v>768</v>
      </c>
      <c r="J199" s="50">
        <v>2.5</v>
      </c>
      <c r="K199" s="51"/>
      <c r="L199" s="52"/>
      <c r="M199" s="73"/>
      <c r="N199" s="104"/>
      <c r="O199" s="105"/>
      <c r="P199" s="61"/>
      <c r="Q199" s="61"/>
      <c r="R199" s="62"/>
      <c r="S199" s="62"/>
      <c r="T199" s="57">
        <v>129</v>
      </c>
      <c r="U199" s="41">
        <v>14120</v>
      </c>
      <c r="V199" s="42" t="s">
        <v>769</v>
      </c>
      <c r="W199" s="42" t="s">
        <v>770</v>
      </c>
      <c r="X199" s="69"/>
      <c r="Y199" s="70"/>
      <c r="Z199" s="74">
        <v>46204</v>
      </c>
    </row>
    <row r="200" spans="2:26" ht="23.4" x14ac:dyDescent="0.3">
      <c r="B200" s="29" t="s">
        <v>771</v>
      </c>
      <c r="C200" s="268" t="s">
        <v>772</v>
      </c>
      <c r="D200" s="269">
        <v>-13.53943980101355</v>
      </c>
      <c r="E200" s="269">
        <v>-71.938982925031638</v>
      </c>
      <c r="F200" s="270">
        <v>14583</v>
      </c>
      <c r="G200" s="270">
        <v>32</v>
      </c>
      <c r="H200" s="271" t="s">
        <v>773</v>
      </c>
      <c r="I200" s="271" t="s">
        <v>774</v>
      </c>
      <c r="J200" s="50">
        <v>1.5</v>
      </c>
      <c r="K200" s="272"/>
      <c r="L200" s="273"/>
      <c r="M200" s="273"/>
      <c r="N200" s="274"/>
      <c r="O200" s="274"/>
      <c r="P200" s="275">
        <v>54</v>
      </c>
      <c r="Q200" s="275">
        <v>14056</v>
      </c>
      <c r="R200" s="276" t="s">
        <v>775</v>
      </c>
      <c r="S200" s="276" t="s">
        <v>776</v>
      </c>
      <c r="T200" s="277"/>
      <c r="U200" s="278"/>
      <c r="V200" s="279"/>
      <c r="W200" s="279"/>
      <c r="X200" s="280"/>
      <c r="Y200" s="280"/>
      <c r="Z200" s="74">
        <v>46206</v>
      </c>
    </row>
    <row r="201" spans="2:26" ht="23.4" x14ac:dyDescent="0.3">
      <c r="B201" s="197" t="s">
        <v>777</v>
      </c>
      <c r="C201" s="198" t="s">
        <v>778</v>
      </c>
      <c r="D201" s="199">
        <v>-13.5381859922211</v>
      </c>
      <c r="E201" s="199">
        <v>-71.937306518413493</v>
      </c>
      <c r="F201" s="72"/>
      <c r="G201" s="72"/>
      <c r="H201" s="100"/>
      <c r="I201" s="100"/>
      <c r="J201" s="50"/>
      <c r="K201" s="51"/>
      <c r="L201" s="52"/>
      <c r="M201" s="73"/>
      <c r="N201" s="104"/>
      <c r="O201" s="105"/>
      <c r="P201" s="61"/>
      <c r="Q201" s="61"/>
      <c r="R201" s="62"/>
      <c r="S201" s="62"/>
      <c r="T201" s="57"/>
      <c r="U201" s="41"/>
      <c r="V201" s="42"/>
      <c r="W201" s="42"/>
      <c r="X201" s="58">
        <v>15</v>
      </c>
      <c r="Y201" s="59">
        <v>156</v>
      </c>
      <c r="Z201" s="74">
        <v>46205</v>
      </c>
    </row>
    <row r="202" spans="2:26" ht="23.4" x14ac:dyDescent="0.3">
      <c r="B202" s="29" t="s">
        <v>779</v>
      </c>
      <c r="C202" s="30" t="s">
        <v>780</v>
      </c>
      <c r="D202" s="47">
        <v>-13.538081358395436</v>
      </c>
      <c r="E202" s="47">
        <v>-71.940064725257173</v>
      </c>
      <c r="F202" s="72"/>
      <c r="G202" s="72"/>
      <c r="H202" s="100"/>
      <c r="I202" s="100"/>
      <c r="J202" s="50"/>
      <c r="K202" s="51"/>
      <c r="L202" s="52"/>
      <c r="M202" s="73"/>
      <c r="N202" s="104"/>
      <c r="O202" s="105"/>
      <c r="P202" s="61">
        <v>55</v>
      </c>
      <c r="Q202" s="61">
        <v>14057</v>
      </c>
      <c r="R202" s="62" t="s">
        <v>781</v>
      </c>
      <c r="S202" s="62" t="s">
        <v>782</v>
      </c>
      <c r="T202" s="57"/>
      <c r="U202" s="41"/>
      <c r="V202" s="42"/>
      <c r="W202" s="42"/>
      <c r="X202" s="69"/>
      <c r="Y202" s="70"/>
      <c r="Z202" s="74">
        <v>46205</v>
      </c>
    </row>
    <row r="203" spans="2:26" ht="23.4" x14ac:dyDescent="0.3">
      <c r="B203" s="46" t="s">
        <v>783</v>
      </c>
      <c r="C203" s="30" t="s">
        <v>784</v>
      </c>
      <c r="D203" s="47">
        <v>-13.540794610000001</v>
      </c>
      <c r="E203" s="47">
        <v>-71.940513469999999</v>
      </c>
      <c r="F203" s="72">
        <v>14584</v>
      </c>
      <c r="G203" s="72">
        <v>33</v>
      </c>
      <c r="H203" s="49" t="s">
        <v>785</v>
      </c>
      <c r="I203" s="49" t="s">
        <v>786</v>
      </c>
      <c r="J203" s="50">
        <v>2.5</v>
      </c>
      <c r="K203" s="51"/>
      <c r="L203" s="52"/>
      <c r="M203" s="73"/>
      <c r="N203" s="104"/>
      <c r="O203" s="105"/>
      <c r="P203" s="61"/>
      <c r="Q203" s="61"/>
      <c r="R203" s="62"/>
      <c r="S203" s="62"/>
      <c r="T203" s="57"/>
      <c r="U203" s="41"/>
      <c r="V203" s="42"/>
      <c r="W203" s="42"/>
      <c r="X203" s="58">
        <v>16</v>
      </c>
      <c r="Y203" s="59">
        <v>157</v>
      </c>
      <c r="Z203" s="74">
        <v>46205</v>
      </c>
    </row>
    <row r="204" spans="2:26" ht="23.4" x14ac:dyDescent="0.3">
      <c r="B204" s="204" t="s">
        <v>787</v>
      </c>
      <c r="C204" s="198" t="s">
        <v>788</v>
      </c>
      <c r="D204" s="199">
        <v>-13.539476473051392</v>
      </c>
      <c r="E204" s="199">
        <v>-71.933555507964812</v>
      </c>
      <c r="F204" s="72"/>
      <c r="G204" s="72"/>
      <c r="H204" s="100"/>
      <c r="I204" s="100"/>
      <c r="J204" s="50"/>
      <c r="K204" s="51"/>
      <c r="L204" s="52"/>
      <c r="M204" s="73"/>
      <c r="N204" s="104"/>
      <c r="O204" s="105"/>
      <c r="P204" s="61"/>
      <c r="Q204" s="61"/>
      <c r="R204" s="62"/>
      <c r="S204" s="62"/>
      <c r="T204" s="57">
        <v>130</v>
      </c>
      <c r="U204" s="41"/>
      <c r="V204" s="42" t="s">
        <v>789</v>
      </c>
      <c r="W204" s="42" t="s">
        <v>790</v>
      </c>
      <c r="X204" s="69"/>
      <c r="Y204" s="70"/>
      <c r="Z204" s="74">
        <v>46204</v>
      </c>
    </row>
    <row r="205" spans="2:26" ht="23.4" x14ac:dyDescent="0.3">
      <c r="B205" s="46" t="s">
        <v>791</v>
      </c>
      <c r="C205" s="30" t="s">
        <v>792</v>
      </c>
      <c r="D205" s="78">
        <v>-13.54117781022137</v>
      </c>
      <c r="E205" s="78">
        <v>-71.940952041216036</v>
      </c>
      <c r="F205" s="72">
        <v>14585</v>
      </c>
      <c r="G205" s="72">
        <v>34</v>
      </c>
      <c r="H205" s="100" t="s">
        <v>793</v>
      </c>
      <c r="I205" s="100" t="s">
        <v>794</v>
      </c>
      <c r="J205" s="50">
        <v>2</v>
      </c>
      <c r="K205" s="51"/>
      <c r="L205" s="52">
        <v>37</v>
      </c>
      <c r="M205" s="73">
        <v>37</v>
      </c>
      <c r="N205" s="53" t="s">
        <v>795</v>
      </c>
      <c r="O205" s="54" t="s">
        <v>796</v>
      </c>
      <c r="P205" s="61"/>
      <c r="Q205" s="61"/>
      <c r="R205" s="62"/>
      <c r="S205" s="62"/>
      <c r="T205" s="57"/>
      <c r="U205" s="41"/>
      <c r="V205" s="42"/>
      <c r="W205" s="42"/>
      <c r="X205" s="58">
        <v>17</v>
      </c>
      <c r="Y205" s="59">
        <v>158</v>
      </c>
      <c r="Z205" s="74">
        <v>46206</v>
      </c>
    </row>
    <row r="206" spans="2:26" ht="23.4" x14ac:dyDescent="0.3">
      <c r="B206" s="29" t="s">
        <v>797</v>
      </c>
      <c r="C206" s="30" t="s">
        <v>798</v>
      </c>
      <c r="D206" s="210">
        <v>-13.542737465001244</v>
      </c>
      <c r="E206" s="210">
        <v>-71.941958951738229</v>
      </c>
      <c r="F206" s="72"/>
      <c r="G206" s="72"/>
      <c r="H206" s="100"/>
      <c r="I206" s="100"/>
      <c r="J206" s="50"/>
      <c r="K206" s="51"/>
      <c r="L206" s="52"/>
      <c r="M206" s="73"/>
      <c r="N206" s="104"/>
      <c r="O206" s="105"/>
      <c r="P206" s="61"/>
      <c r="Q206" s="61"/>
      <c r="R206" s="62"/>
      <c r="S206" s="62"/>
      <c r="T206" s="57"/>
      <c r="U206" s="41"/>
      <c r="V206" s="42"/>
      <c r="W206" s="42"/>
      <c r="X206" s="58">
        <v>18</v>
      </c>
      <c r="Y206" s="59">
        <v>159</v>
      </c>
      <c r="Z206" s="101">
        <v>46205</v>
      </c>
    </row>
    <row r="207" spans="2:26" ht="23.4" x14ac:dyDescent="0.3">
      <c r="B207" s="197" t="s">
        <v>799</v>
      </c>
      <c r="C207" s="198" t="s">
        <v>800</v>
      </c>
      <c r="D207" s="199">
        <v>-13.546872066125388</v>
      </c>
      <c r="E207" s="199">
        <v>-71.943652990375909</v>
      </c>
      <c r="F207" s="72"/>
      <c r="G207" s="72"/>
      <c r="H207" s="100"/>
      <c r="I207" s="100"/>
      <c r="J207" s="50"/>
      <c r="K207" s="51"/>
      <c r="L207" s="52"/>
      <c r="M207" s="73"/>
      <c r="N207" s="104"/>
      <c r="O207" s="105"/>
      <c r="P207" s="61"/>
      <c r="Q207" s="61"/>
      <c r="R207" s="62"/>
      <c r="S207" s="62"/>
      <c r="T207" s="57">
        <v>131</v>
      </c>
      <c r="U207" s="41"/>
      <c r="V207" s="42" t="s">
        <v>801</v>
      </c>
      <c r="W207" s="42" t="s">
        <v>802</v>
      </c>
      <c r="X207" s="69"/>
      <c r="Y207" s="70"/>
      <c r="Z207" s="74">
        <v>46205</v>
      </c>
    </row>
    <row r="208" spans="2:26" ht="23.4" x14ac:dyDescent="0.3">
      <c r="B208" s="29" t="s">
        <v>803</v>
      </c>
      <c r="C208" s="30" t="s">
        <v>804</v>
      </c>
      <c r="D208" s="47">
        <v>-13.545716064710087</v>
      </c>
      <c r="E208" s="47">
        <v>-71.942115600970126</v>
      </c>
      <c r="F208" s="72"/>
      <c r="G208" s="72"/>
      <c r="H208" s="100"/>
      <c r="I208" s="100"/>
      <c r="J208" s="50"/>
      <c r="K208" s="51"/>
      <c r="L208" s="52"/>
      <c r="M208" s="73"/>
      <c r="N208" s="104"/>
      <c r="O208" s="105"/>
      <c r="P208" s="61"/>
      <c r="Q208" s="61"/>
      <c r="R208" s="62"/>
      <c r="S208" s="62"/>
      <c r="T208" s="57"/>
      <c r="U208" s="41"/>
      <c r="V208" s="42"/>
      <c r="W208" s="42"/>
      <c r="X208" s="58">
        <v>19</v>
      </c>
      <c r="Y208" s="59">
        <v>160</v>
      </c>
      <c r="Z208" s="74">
        <v>46214</v>
      </c>
    </row>
    <row r="209" spans="1:26" ht="23.4" x14ac:dyDescent="0.3">
      <c r="B209" s="197" t="s">
        <v>805</v>
      </c>
      <c r="C209" s="198" t="s">
        <v>806</v>
      </c>
      <c r="D209" s="199">
        <v>-13.543856226291574</v>
      </c>
      <c r="E209" s="199">
        <v>-71.940523415295019</v>
      </c>
      <c r="F209" s="72"/>
      <c r="G209" s="72"/>
      <c r="H209" s="100"/>
      <c r="I209" s="100"/>
      <c r="J209" s="50"/>
      <c r="K209" s="51"/>
      <c r="L209" s="52"/>
      <c r="M209" s="73"/>
      <c r="N209" s="104"/>
      <c r="O209" s="105"/>
      <c r="P209" s="61">
        <v>56</v>
      </c>
      <c r="Q209" s="61">
        <v>14058</v>
      </c>
      <c r="R209" s="62" t="s">
        <v>807</v>
      </c>
      <c r="S209" s="62" t="s">
        <v>808</v>
      </c>
      <c r="T209" s="57"/>
      <c r="U209" s="41"/>
      <c r="V209" s="42"/>
      <c r="W209" s="42"/>
      <c r="X209" s="69"/>
      <c r="Y209" s="70"/>
      <c r="Z209" s="74">
        <v>46213</v>
      </c>
    </row>
    <row r="210" spans="1:26" ht="23.4" x14ac:dyDescent="0.3">
      <c r="B210" s="204" t="s">
        <v>809</v>
      </c>
      <c r="C210" s="198" t="s">
        <v>810</v>
      </c>
      <c r="D210" s="199">
        <v>-13.542453271693581</v>
      </c>
      <c r="E210" s="199">
        <v>-71.936942936653779</v>
      </c>
      <c r="F210" s="72"/>
      <c r="G210" s="72"/>
      <c r="H210" s="100"/>
      <c r="I210" s="100"/>
      <c r="J210" s="50"/>
      <c r="K210" s="51"/>
      <c r="L210" s="52"/>
      <c r="M210" s="73"/>
      <c r="N210" s="104"/>
      <c r="O210" s="105"/>
      <c r="P210" s="61">
        <v>57</v>
      </c>
      <c r="Q210" s="61">
        <v>14059</v>
      </c>
      <c r="R210" s="62" t="s">
        <v>811</v>
      </c>
      <c r="S210" s="62" t="s">
        <v>812</v>
      </c>
      <c r="T210" s="57"/>
      <c r="U210" s="41"/>
      <c r="V210" s="42"/>
      <c r="W210" s="42"/>
      <c r="X210" s="69"/>
      <c r="Y210" s="70"/>
      <c r="Z210" s="74">
        <v>46205</v>
      </c>
    </row>
    <row r="211" spans="1:26" ht="23.4" x14ac:dyDescent="0.3">
      <c r="B211" s="46" t="s">
        <v>813</v>
      </c>
      <c r="C211" s="30" t="s">
        <v>814</v>
      </c>
      <c r="D211" s="47">
        <v>-13.543930049670449</v>
      </c>
      <c r="E211" s="47">
        <v>-71.935013279405851</v>
      </c>
      <c r="F211" s="72"/>
      <c r="G211" s="72"/>
      <c r="H211" s="100"/>
      <c r="I211" s="100"/>
      <c r="J211" s="50"/>
      <c r="K211" s="51"/>
      <c r="L211" s="52"/>
      <c r="M211" s="73"/>
      <c r="N211" s="104"/>
      <c r="O211" s="105"/>
      <c r="P211" s="61"/>
      <c r="Q211" s="61"/>
      <c r="R211" s="62"/>
      <c r="S211" s="62"/>
      <c r="T211" s="57"/>
      <c r="U211" s="41"/>
      <c r="V211" s="42"/>
      <c r="W211" s="42"/>
      <c r="X211" s="58">
        <v>20</v>
      </c>
      <c r="Y211" s="59">
        <v>161</v>
      </c>
      <c r="Z211" s="281">
        <v>46205</v>
      </c>
    </row>
    <row r="212" spans="1:26" ht="23.4" x14ac:dyDescent="0.3">
      <c r="B212" s="29" t="s">
        <v>815</v>
      </c>
      <c r="C212" s="30" t="s">
        <v>816</v>
      </c>
      <c r="D212" s="282">
        <v>-13.542374329999999</v>
      </c>
      <c r="E212" s="282">
        <v>-71.93520651</v>
      </c>
      <c r="F212" s="72"/>
      <c r="G212" s="72"/>
      <c r="H212" s="100"/>
      <c r="I212" s="100"/>
      <c r="J212" s="50"/>
      <c r="K212" s="51"/>
      <c r="L212" s="52"/>
      <c r="M212" s="73"/>
      <c r="N212" s="104"/>
      <c r="O212" s="105"/>
      <c r="P212" s="61"/>
      <c r="Q212" s="61"/>
      <c r="R212" s="62"/>
      <c r="S212" s="62"/>
      <c r="T212" s="57">
        <v>132</v>
      </c>
      <c r="U212" s="41"/>
      <c r="V212" s="42" t="s">
        <v>817</v>
      </c>
      <c r="W212" s="42" t="s">
        <v>818</v>
      </c>
      <c r="X212" s="69"/>
      <c r="Y212" s="70"/>
      <c r="Z212" s="74">
        <v>46207</v>
      </c>
    </row>
    <row r="213" spans="1:26" ht="23.4" x14ac:dyDescent="0.3">
      <c r="B213" s="283" t="s">
        <v>819</v>
      </c>
      <c r="C213" s="284" t="s">
        <v>820</v>
      </c>
      <c r="D213" s="202">
        <v>-13.540548650771305</v>
      </c>
      <c r="E213" s="202">
        <v>-71.95371081606487</v>
      </c>
      <c r="F213" s="152">
        <v>14586</v>
      </c>
      <c r="G213" s="152">
        <v>35</v>
      </c>
      <c r="H213" s="169" t="s">
        <v>821</v>
      </c>
      <c r="I213" s="169" t="s">
        <v>822</v>
      </c>
      <c r="J213" s="76">
        <v>2</v>
      </c>
      <c r="K213" s="154"/>
      <c r="L213" s="155">
        <v>38</v>
      </c>
      <c r="M213" s="156">
        <v>38</v>
      </c>
      <c r="N213" s="285" t="s">
        <v>823</v>
      </c>
      <c r="O213" s="286" t="s">
        <v>824</v>
      </c>
      <c r="P213" s="159"/>
      <c r="Q213" s="159"/>
      <c r="R213" s="160"/>
      <c r="S213" s="160"/>
      <c r="T213" s="161"/>
      <c r="U213" s="162"/>
      <c r="V213" s="163"/>
      <c r="W213" s="163"/>
      <c r="X213" s="287">
        <v>21</v>
      </c>
      <c r="Y213" s="288">
        <v>162</v>
      </c>
      <c r="Z213" s="166"/>
    </row>
    <row r="214" spans="1:26" ht="23.4" x14ac:dyDescent="0.3">
      <c r="B214" s="289" t="s">
        <v>825</v>
      </c>
      <c r="C214" s="151" t="s">
        <v>826</v>
      </c>
      <c r="D214" s="78">
        <v>-13.541421721157048</v>
      </c>
      <c r="E214" s="78">
        <v>-71.954727776856217</v>
      </c>
      <c r="F214" s="152"/>
      <c r="G214" s="152"/>
      <c r="H214" s="169"/>
      <c r="I214" s="169"/>
      <c r="J214" s="76"/>
      <c r="K214" s="154"/>
      <c r="L214" s="155"/>
      <c r="M214" s="156"/>
      <c r="N214" s="285"/>
      <c r="O214" s="286"/>
      <c r="P214" s="159"/>
      <c r="Q214" s="159"/>
      <c r="R214" s="160"/>
      <c r="S214" s="160"/>
      <c r="T214" s="161">
        <v>133</v>
      </c>
      <c r="U214" s="162"/>
      <c r="V214" s="163" t="s">
        <v>827</v>
      </c>
      <c r="W214" s="163" t="s">
        <v>828</v>
      </c>
      <c r="X214" s="164"/>
      <c r="Y214" s="165"/>
      <c r="Z214" s="166"/>
    </row>
    <row r="215" spans="1:26" ht="23.4" x14ac:dyDescent="0.3">
      <c r="A215" s="290"/>
      <c r="B215" s="283" t="s">
        <v>829</v>
      </c>
      <c r="C215" s="284" t="s">
        <v>830</v>
      </c>
      <c r="D215" s="202">
        <v>-13.543451152487657</v>
      </c>
      <c r="E215" s="202">
        <v>-71.954189751751954</v>
      </c>
      <c r="F215" s="152"/>
      <c r="G215" s="152"/>
      <c r="H215" s="169"/>
      <c r="I215" s="169"/>
      <c r="J215" s="76"/>
      <c r="K215" s="154"/>
      <c r="L215" s="155"/>
      <c r="M215" s="156"/>
      <c r="N215" s="285"/>
      <c r="O215" s="286"/>
      <c r="P215" s="159">
        <v>58</v>
      </c>
      <c r="Q215" s="159"/>
      <c r="R215" s="160" t="s">
        <v>831</v>
      </c>
      <c r="S215" s="160" t="s">
        <v>832</v>
      </c>
      <c r="T215" s="161"/>
      <c r="U215" s="162"/>
      <c r="V215" s="163"/>
      <c r="W215" s="163"/>
      <c r="X215" s="164"/>
      <c r="Y215" s="165"/>
      <c r="Z215" s="166"/>
    </row>
    <row r="216" spans="1:26" ht="23.4" x14ac:dyDescent="0.3">
      <c r="B216" s="283" t="s">
        <v>833</v>
      </c>
      <c r="C216" s="284" t="s">
        <v>834</v>
      </c>
      <c r="D216" s="202">
        <v>-13.545014413827516</v>
      </c>
      <c r="E216" s="202">
        <v>-71.955649121418489</v>
      </c>
      <c r="F216" s="152"/>
      <c r="G216" s="152"/>
      <c r="H216" s="169"/>
      <c r="I216" s="169"/>
      <c r="J216" s="76"/>
      <c r="K216" s="154"/>
      <c r="L216" s="155"/>
      <c r="M216" s="156"/>
      <c r="N216" s="285"/>
      <c r="O216" s="286"/>
      <c r="P216" s="159">
        <v>59</v>
      </c>
      <c r="Q216" s="159"/>
      <c r="R216" s="160" t="s">
        <v>835</v>
      </c>
      <c r="S216" s="160" t="s">
        <v>836</v>
      </c>
      <c r="T216" s="161"/>
      <c r="U216" s="162"/>
      <c r="V216" s="163"/>
      <c r="W216" s="163"/>
      <c r="X216" s="164"/>
      <c r="Y216" s="165"/>
      <c r="Z216" s="166"/>
    </row>
    <row r="217" spans="1:26" ht="23.4" x14ac:dyDescent="0.3">
      <c r="A217">
        <v>0</v>
      </c>
      <c r="B217" s="289" t="s">
        <v>837</v>
      </c>
      <c r="C217" s="151" t="s">
        <v>838</v>
      </c>
      <c r="D217" s="78">
        <v>-13.544397333147922</v>
      </c>
      <c r="E217" s="78">
        <v>-71.955133783092677</v>
      </c>
      <c r="F217" s="152"/>
      <c r="G217" s="152"/>
      <c r="H217" s="169"/>
      <c r="I217" s="169"/>
      <c r="J217" s="76"/>
      <c r="K217" s="154"/>
      <c r="L217" s="155"/>
      <c r="M217" s="156"/>
      <c r="N217" s="285"/>
      <c r="O217" s="286"/>
      <c r="P217" s="159">
        <v>60</v>
      </c>
      <c r="Q217" s="159"/>
      <c r="R217" s="160" t="s">
        <v>839</v>
      </c>
      <c r="S217" s="160" t="s">
        <v>840</v>
      </c>
      <c r="T217" s="161"/>
      <c r="U217" s="162"/>
      <c r="V217" s="163"/>
      <c r="W217" s="163"/>
      <c r="X217" s="164"/>
      <c r="Y217" s="165"/>
      <c r="Z217" s="166"/>
    </row>
    <row r="218" spans="1:26" ht="23.4" x14ac:dyDescent="0.3">
      <c r="B218" s="289" t="s">
        <v>841</v>
      </c>
      <c r="C218" s="151" t="s">
        <v>842</v>
      </c>
      <c r="D218" s="78">
        <v>-13.54753453671991</v>
      </c>
      <c r="E218" s="78">
        <v>-71.954858693166855</v>
      </c>
      <c r="F218" s="152"/>
      <c r="G218" s="152"/>
      <c r="H218" s="169"/>
      <c r="I218" s="169"/>
      <c r="J218" s="76"/>
      <c r="K218" s="154"/>
      <c r="L218" s="155"/>
      <c r="M218" s="156"/>
      <c r="N218" s="285"/>
      <c r="O218" s="286"/>
      <c r="P218" s="159"/>
      <c r="Q218" s="159"/>
      <c r="R218" s="160"/>
      <c r="S218" s="160"/>
      <c r="T218" s="226">
        <v>134</v>
      </c>
      <c r="U218" s="227"/>
      <c r="V218" s="228" t="s">
        <v>843</v>
      </c>
      <c r="W218" s="228" t="s">
        <v>844</v>
      </c>
      <c r="X218" s="164"/>
      <c r="Y218" s="165"/>
      <c r="Z218" s="166"/>
    </row>
    <row r="219" spans="1:26" ht="23.4" x14ac:dyDescent="0.3">
      <c r="B219" s="283" t="s">
        <v>845</v>
      </c>
      <c r="C219" s="284" t="s">
        <v>846</v>
      </c>
      <c r="D219" s="202">
        <v>-13.544285552397545</v>
      </c>
      <c r="E219" s="202">
        <v>-71.956184748290525</v>
      </c>
      <c r="F219" s="152"/>
      <c r="G219" s="152"/>
      <c r="H219" s="169"/>
      <c r="I219" s="169"/>
      <c r="J219" s="76"/>
      <c r="K219" s="154"/>
      <c r="L219" s="155"/>
      <c r="M219" s="156"/>
      <c r="N219" s="285"/>
      <c r="O219" s="286"/>
      <c r="P219" s="159"/>
      <c r="Q219" s="159"/>
      <c r="R219" s="160"/>
      <c r="S219" s="160"/>
      <c r="T219" s="161">
        <v>135</v>
      </c>
      <c r="U219" s="162"/>
      <c r="V219" s="163" t="s">
        <v>847</v>
      </c>
      <c r="W219" s="163" t="s">
        <v>848</v>
      </c>
      <c r="X219" s="164"/>
      <c r="Y219" s="165"/>
      <c r="Z219" s="166"/>
    </row>
    <row r="220" spans="1:26" ht="23.4" x14ac:dyDescent="0.3">
      <c r="B220" s="289" t="s">
        <v>849</v>
      </c>
      <c r="C220" s="151" t="s">
        <v>850</v>
      </c>
      <c r="D220" s="78">
        <v>-13.545816995041262</v>
      </c>
      <c r="E220" s="78">
        <v>-71.953462021499732</v>
      </c>
      <c r="F220" s="152"/>
      <c r="G220" s="152"/>
      <c r="H220" s="169"/>
      <c r="I220" s="169"/>
      <c r="J220" s="76"/>
      <c r="K220" s="154"/>
      <c r="L220" s="155"/>
      <c r="M220" s="156"/>
      <c r="N220" s="285"/>
      <c r="O220" s="286"/>
      <c r="P220" s="159">
        <v>61</v>
      </c>
      <c r="Q220" s="159">
        <v>14063</v>
      </c>
      <c r="R220" s="160" t="s">
        <v>851</v>
      </c>
      <c r="S220" s="160" t="s">
        <v>852</v>
      </c>
      <c r="T220" s="161"/>
      <c r="U220" s="162"/>
      <c r="V220" s="163"/>
      <c r="W220" s="163"/>
      <c r="X220" s="164"/>
      <c r="Y220" s="165"/>
      <c r="Z220" s="166"/>
    </row>
    <row r="221" spans="1:26" ht="23.4" x14ac:dyDescent="0.3">
      <c r="B221" s="283" t="s">
        <v>853</v>
      </c>
      <c r="C221" s="284" t="s">
        <v>854</v>
      </c>
      <c r="D221" s="202">
        <v>-13.544452009137167</v>
      </c>
      <c r="E221" s="202">
        <v>-71.953565167348046</v>
      </c>
      <c r="F221" s="152"/>
      <c r="G221" s="152"/>
      <c r="H221" s="169"/>
      <c r="I221" s="169"/>
      <c r="J221" s="76"/>
      <c r="K221" s="154"/>
      <c r="L221" s="155"/>
      <c r="M221" s="156"/>
      <c r="N221" s="285"/>
      <c r="O221" s="286"/>
      <c r="P221" s="159">
        <v>62</v>
      </c>
      <c r="Q221" s="159">
        <v>14064</v>
      </c>
      <c r="R221" s="160" t="s">
        <v>855</v>
      </c>
      <c r="S221" s="160" t="s">
        <v>856</v>
      </c>
      <c r="T221" s="161"/>
      <c r="U221" s="162"/>
      <c r="V221" s="163"/>
      <c r="W221" s="163"/>
      <c r="X221" s="164"/>
      <c r="Y221" s="165"/>
      <c r="Z221" s="166"/>
    </row>
    <row r="222" spans="1:26" ht="23.4" x14ac:dyDescent="0.3">
      <c r="B222" s="283" t="s">
        <v>857</v>
      </c>
      <c r="C222" s="284" t="s">
        <v>858</v>
      </c>
      <c r="D222" s="202">
        <v>-13.543884328482207</v>
      </c>
      <c r="E222" s="202">
        <v>-71.952690431597901</v>
      </c>
      <c r="F222" s="152"/>
      <c r="G222" s="152"/>
      <c r="H222" s="169"/>
      <c r="I222" s="169"/>
      <c r="J222" s="76"/>
      <c r="K222" s="154"/>
      <c r="L222" s="155"/>
      <c r="M222" s="156"/>
      <c r="N222" s="285"/>
      <c r="O222" s="286"/>
      <c r="P222" s="159"/>
      <c r="Q222" s="159"/>
      <c r="R222" s="160"/>
      <c r="S222" s="160"/>
      <c r="T222" s="161"/>
      <c r="U222" s="162"/>
      <c r="V222" s="163"/>
      <c r="W222" s="163"/>
      <c r="X222" s="229">
        <v>22</v>
      </c>
      <c r="Y222" s="230">
        <v>163</v>
      </c>
      <c r="Z222" s="166"/>
    </row>
    <row r="223" spans="1:26" ht="23.4" x14ac:dyDescent="0.3">
      <c r="B223" s="289" t="s">
        <v>859</v>
      </c>
      <c r="C223" s="151" t="s">
        <v>860</v>
      </c>
      <c r="D223" s="78">
        <v>-13.543996072936686</v>
      </c>
      <c r="E223" s="78">
        <v>-71.952405646495365</v>
      </c>
      <c r="F223" s="152"/>
      <c r="G223" s="152"/>
      <c r="H223" s="169"/>
      <c r="I223" s="169"/>
      <c r="J223" s="76"/>
      <c r="K223" s="154"/>
      <c r="L223" s="155"/>
      <c r="M223" s="156"/>
      <c r="N223" s="285"/>
      <c r="O223" s="286"/>
      <c r="P223" s="159">
        <v>1</v>
      </c>
      <c r="Q223" s="159">
        <v>14003</v>
      </c>
      <c r="R223" s="159" t="s">
        <v>861</v>
      </c>
      <c r="S223" s="159" t="s">
        <v>862</v>
      </c>
      <c r="T223" s="161"/>
      <c r="U223" s="162"/>
      <c r="V223" s="163"/>
      <c r="W223" s="163"/>
      <c r="X223" s="164"/>
      <c r="Y223" s="165"/>
      <c r="Z223" s="166"/>
    </row>
    <row r="224" spans="1:26" ht="23.4" x14ac:dyDescent="0.3">
      <c r="B224" s="289" t="s">
        <v>863</v>
      </c>
      <c r="C224" s="151" t="s">
        <v>864</v>
      </c>
      <c r="D224" s="78">
        <v>-13.542860352842514</v>
      </c>
      <c r="E224" s="78">
        <v>-71.951450055742356</v>
      </c>
      <c r="F224" s="152"/>
      <c r="G224" s="152"/>
      <c r="H224" s="169"/>
      <c r="I224" s="169"/>
      <c r="J224" s="76"/>
      <c r="K224" s="154"/>
      <c r="L224" s="155"/>
      <c r="M224" s="156"/>
      <c r="N224" s="285"/>
      <c r="O224" s="286"/>
      <c r="P224" s="159">
        <v>63</v>
      </c>
      <c r="Q224" s="159">
        <v>14065</v>
      </c>
      <c r="R224" s="160" t="s">
        <v>865</v>
      </c>
      <c r="S224" s="160" t="s">
        <v>866</v>
      </c>
      <c r="T224" s="161"/>
      <c r="U224" s="162"/>
      <c r="V224" s="163"/>
      <c r="W224" s="163"/>
      <c r="X224" s="164"/>
      <c r="Y224" s="165"/>
      <c r="Z224" s="166"/>
    </row>
    <row r="225" spans="2:26" ht="23.4" x14ac:dyDescent="0.3">
      <c r="B225" s="197" t="s">
        <v>867</v>
      </c>
      <c r="C225" s="198" t="s">
        <v>868</v>
      </c>
      <c r="D225" s="199">
        <v>-13.5384927640869</v>
      </c>
      <c r="E225" s="199">
        <v>-71.910970757297605</v>
      </c>
      <c r="F225" s="72"/>
      <c r="G225" s="72"/>
      <c r="H225" s="291"/>
      <c r="I225" s="291"/>
      <c r="J225" s="50"/>
      <c r="K225" s="51"/>
      <c r="L225" s="52"/>
      <c r="M225" s="73"/>
      <c r="N225" s="292"/>
      <c r="O225" s="293"/>
      <c r="P225" s="61">
        <v>64</v>
      </c>
      <c r="Q225" s="61">
        <v>14066</v>
      </c>
      <c r="R225" s="62" t="s">
        <v>869</v>
      </c>
      <c r="S225" s="62" t="s">
        <v>870</v>
      </c>
      <c r="T225" s="57"/>
      <c r="U225" s="41"/>
      <c r="V225" s="42"/>
      <c r="W225" s="42"/>
      <c r="X225" s="69"/>
      <c r="Y225" s="70"/>
      <c r="Z225" s="74">
        <v>46193</v>
      </c>
    </row>
    <row r="226" spans="2:26" ht="23.4" x14ac:dyDescent="0.3">
      <c r="B226" s="168" t="s">
        <v>871</v>
      </c>
      <c r="C226" s="151" t="s">
        <v>872</v>
      </c>
      <c r="D226" s="78">
        <v>-13.538659531389962</v>
      </c>
      <c r="E226" s="78">
        <v>-71.955367515411695</v>
      </c>
      <c r="F226" s="152" t="s">
        <v>873</v>
      </c>
      <c r="G226" s="152"/>
      <c r="H226" s="294"/>
      <c r="I226" s="294"/>
      <c r="J226" s="76"/>
      <c r="K226" s="154"/>
      <c r="L226" s="155"/>
      <c r="M226" s="156"/>
      <c r="N226" s="295"/>
      <c r="O226" s="296"/>
      <c r="P226" s="159">
        <v>65</v>
      </c>
      <c r="Q226" s="159">
        <v>14067</v>
      </c>
      <c r="R226" s="160" t="s">
        <v>874</v>
      </c>
      <c r="S226" s="160" t="s">
        <v>875</v>
      </c>
      <c r="T226" s="161"/>
      <c r="U226" s="162"/>
      <c r="V226" s="163"/>
      <c r="W226" s="163"/>
      <c r="X226" s="164"/>
      <c r="Y226" s="165"/>
      <c r="Z226" s="166"/>
    </row>
    <row r="227" spans="2:26" ht="23.4" x14ac:dyDescent="0.3">
      <c r="B227" s="283" t="s">
        <v>876</v>
      </c>
      <c r="C227" s="284" t="s">
        <v>877</v>
      </c>
      <c r="D227" s="202">
        <v>-13.540795326573901</v>
      </c>
      <c r="E227" s="202">
        <v>-71.952707683775472</v>
      </c>
      <c r="F227" s="152"/>
      <c r="G227" s="152"/>
      <c r="H227" s="169"/>
      <c r="I227" s="169"/>
      <c r="J227" s="76"/>
      <c r="K227" s="154"/>
      <c r="L227" s="155"/>
      <c r="M227" s="156"/>
      <c r="N227" s="285"/>
      <c r="O227" s="286"/>
      <c r="P227" s="159">
        <v>66</v>
      </c>
      <c r="Q227" s="159">
        <v>14068</v>
      </c>
      <c r="R227" s="160" t="s">
        <v>878</v>
      </c>
      <c r="S227" s="160" t="s">
        <v>879</v>
      </c>
      <c r="T227" s="161"/>
      <c r="U227" s="162"/>
      <c r="V227" s="163"/>
      <c r="W227" s="163"/>
      <c r="X227" s="164"/>
      <c r="Y227" s="165"/>
      <c r="Z227" s="166"/>
    </row>
    <row r="228" spans="2:26" ht="23.4" x14ac:dyDescent="0.3">
      <c r="B228" s="289" t="s">
        <v>880</v>
      </c>
      <c r="C228" s="151" t="s">
        <v>881</v>
      </c>
      <c r="D228" s="78">
        <v>-13.542415209598298</v>
      </c>
      <c r="E228" s="78">
        <v>-71.953198464375575</v>
      </c>
      <c r="F228" s="152"/>
      <c r="G228" s="152"/>
      <c r="H228" s="169"/>
      <c r="I228" s="169"/>
      <c r="J228" s="76"/>
      <c r="K228" s="154"/>
      <c r="L228" s="155"/>
      <c r="M228" s="156"/>
      <c r="N228" s="285"/>
      <c r="O228" s="286"/>
      <c r="P228" s="159"/>
      <c r="Q228" s="159"/>
      <c r="R228" s="160"/>
      <c r="S228" s="160"/>
      <c r="T228" s="161"/>
      <c r="U228" s="162"/>
      <c r="V228" s="163"/>
      <c r="W228" s="163"/>
      <c r="X228" s="287">
        <v>23</v>
      </c>
      <c r="Y228" s="288">
        <v>164</v>
      </c>
      <c r="Z228" s="166"/>
    </row>
    <row r="229" spans="2:26" ht="23.4" x14ac:dyDescent="0.3">
      <c r="B229" s="29" t="s">
        <v>882</v>
      </c>
      <c r="C229" s="30" t="s">
        <v>883</v>
      </c>
      <c r="D229" s="47">
        <v>-13.538991742899746</v>
      </c>
      <c r="E229" s="47">
        <v>-71.948651500982749</v>
      </c>
      <c r="F229" s="72"/>
      <c r="G229" s="72"/>
      <c r="H229" s="100"/>
      <c r="I229" s="100"/>
      <c r="J229" s="50"/>
      <c r="K229" s="51"/>
      <c r="L229" s="52"/>
      <c r="M229" s="73"/>
      <c r="N229" s="104"/>
      <c r="O229" s="105"/>
      <c r="P229" s="61"/>
      <c r="Q229" s="61"/>
      <c r="R229" s="62"/>
      <c r="S229" s="62"/>
      <c r="T229" s="57">
        <v>137</v>
      </c>
      <c r="U229" s="41"/>
      <c r="V229" s="42" t="s">
        <v>884</v>
      </c>
      <c r="W229" s="42" t="s">
        <v>885</v>
      </c>
      <c r="X229" s="69"/>
      <c r="Y229" s="70"/>
      <c r="Z229" s="74">
        <v>46214</v>
      </c>
    </row>
    <row r="230" spans="2:26" ht="23.4" x14ac:dyDescent="0.3">
      <c r="B230" s="283" t="s">
        <v>886</v>
      </c>
      <c r="C230" s="284" t="s">
        <v>887</v>
      </c>
      <c r="D230" s="202">
        <v>-13.539629398168358</v>
      </c>
      <c r="E230" s="202">
        <v>-71.949720922694652</v>
      </c>
      <c r="F230" s="152"/>
      <c r="G230" s="152"/>
      <c r="H230" s="169"/>
      <c r="I230" s="169"/>
      <c r="J230" s="76"/>
      <c r="K230" s="154"/>
      <c r="L230" s="155"/>
      <c r="M230" s="156"/>
      <c r="N230" s="285"/>
      <c r="O230" s="286"/>
      <c r="P230" s="159">
        <v>67</v>
      </c>
      <c r="Q230" s="159">
        <v>14069</v>
      </c>
      <c r="R230" s="160" t="s">
        <v>888</v>
      </c>
      <c r="S230" s="160" t="s">
        <v>889</v>
      </c>
      <c r="T230" s="161"/>
      <c r="U230" s="162"/>
      <c r="V230" s="163"/>
      <c r="W230" s="163"/>
      <c r="X230" s="164"/>
      <c r="Y230" s="165"/>
      <c r="Z230" s="166"/>
    </row>
    <row r="231" spans="2:26" ht="23.4" x14ac:dyDescent="0.3">
      <c r="B231" s="289" t="s">
        <v>890</v>
      </c>
      <c r="C231" s="151" t="s">
        <v>891</v>
      </c>
      <c r="D231" s="78">
        <v>-13.540158392833394</v>
      </c>
      <c r="E231" s="78">
        <v>-71.948518184608432</v>
      </c>
      <c r="F231" s="152"/>
      <c r="G231" s="152"/>
      <c r="H231" s="169"/>
      <c r="I231" s="169"/>
      <c r="J231" s="76"/>
      <c r="K231" s="154"/>
      <c r="L231" s="155"/>
      <c r="M231" s="156"/>
      <c r="N231" s="285"/>
      <c r="O231" s="286"/>
      <c r="P231" s="159"/>
      <c r="Q231" s="159"/>
      <c r="R231" s="160"/>
      <c r="S231" s="160"/>
      <c r="T231" s="161">
        <v>138</v>
      </c>
      <c r="U231" s="162"/>
      <c r="V231" s="163" t="s">
        <v>892</v>
      </c>
      <c r="W231" s="163" t="s">
        <v>893</v>
      </c>
      <c r="X231" s="164"/>
      <c r="Y231" s="165"/>
      <c r="Z231" s="166"/>
    </row>
    <row r="232" spans="2:26" ht="23.4" x14ac:dyDescent="0.3">
      <c r="B232" s="289" t="s">
        <v>894</v>
      </c>
      <c r="C232" s="151" t="s">
        <v>895</v>
      </c>
      <c r="D232" s="78">
        <v>-13.541915378457027</v>
      </c>
      <c r="E232" s="78">
        <v>-71.948872160491661</v>
      </c>
      <c r="F232" s="152"/>
      <c r="G232" s="152"/>
      <c r="H232" s="169"/>
      <c r="I232" s="169"/>
      <c r="J232" s="76"/>
      <c r="K232" s="154"/>
      <c r="L232" s="155">
        <v>39</v>
      </c>
      <c r="M232" s="156">
        <v>39</v>
      </c>
      <c r="N232" s="285" t="s">
        <v>896</v>
      </c>
      <c r="O232" s="286" t="s">
        <v>897</v>
      </c>
      <c r="P232" s="159"/>
      <c r="Q232" s="159"/>
      <c r="R232" s="160"/>
      <c r="S232" s="160"/>
      <c r="T232" s="161"/>
      <c r="U232" s="162"/>
      <c r="V232" s="163"/>
      <c r="W232" s="163"/>
      <c r="X232" s="287">
        <v>24</v>
      </c>
      <c r="Y232" s="288">
        <v>165</v>
      </c>
      <c r="Z232" s="166"/>
    </row>
    <row r="233" spans="2:26" ht="23.4" x14ac:dyDescent="0.3">
      <c r="B233" s="289" t="s">
        <v>898</v>
      </c>
      <c r="C233" s="151" t="s">
        <v>899</v>
      </c>
      <c r="D233" s="78">
        <v>-13.539447145338645</v>
      </c>
      <c r="E233" s="78">
        <v>-71.950623309888513</v>
      </c>
      <c r="F233" s="152"/>
      <c r="G233" s="152"/>
      <c r="H233" s="169"/>
      <c r="I233" s="169"/>
      <c r="J233" s="76"/>
      <c r="K233" s="154"/>
      <c r="L233" s="155"/>
      <c r="M233" s="156"/>
      <c r="N233" s="285"/>
      <c r="O233" s="286"/>
      <c r="P233" s="159">
        <v>68</v>
      </c>
      <c r="Q233" s="159">
        <v>14070</v>
      </c>
      <c r="R233" s="160" t="s">
        <v>900</v>
      </c>
      <c r="S233" s="160" t="s">
        <v>901</v>
      </c>
      <c r="T233" s="161"/>
      <c r="U233" s="162"/>
      <c r="V233" s="163"/>
      <c r="W233" s="163"/>
      <c r="X233" s="164"/>
      <c r="Y233" s="165"/>
      <c r="Z233" s="166"/>
    </row>
    <row r="234" spans="2:26" ht="23.4" x14ac:dyDescent="0.3">
      <c r="B234" s="289" t="s">
        <v>902</v>
      </c>
      <c r="C234" s="151" t="s">
        <v>903</v>
      </c>
      <c r="D234" s="78">
        <v>-13.539812009966294</v>
      </c>
      <c r="E234" s="78">
        <v>-71.952612467852518</v>
      </c>
      <c r="F234" s="152"/>
      <c r="G234" s="152"/>
      <c r="H234" s="294"/>
      <c r="I234" s="294"/>
      <c r="J234" s="76"/>
      <c r="K234" s="154"/>
      <c r="L234" s="155"/>
      <c r="M234" s="156"/>
      <c r="N234" s="295"/>
      <c r="O234" s="296"/>
      <c r="P234" s="159">
        <v>69</v>
      </c>
      <c r="Q234" s="159">
        <v>14071</v>
      </c>
      <c r="R234" s="160" t="s">
        <v>904</v>
      </c>
      <c r="S234" s="160" t="s">
        <v>905</v>
      </c>
      <c r="T234" s="161"/>
      <c r="U234" s="162"/>
      <c r="V234" s="163"/>
      <c r="W234" s="163"/>
      <c r="X234" s="164"/>
      <c r="Y234" s="165"/>
      <c r="Z234" s="166"/>
    </row>
    <row r="235" spans="2:26" ht="23.4" x14ac:dyDescent="0.3">
      <c r="B235" s="283" t="s">
        <v>906</v>
      </c>
      <c r="C235" s="284" t="s">
        <v>907</v>
      </c>
      <c r="D235" s="202">
        <v>-13.546162892807132</v>
      </c>
      <c r="E235" s="202">
        <v>-71.947881406143381</v>
      </c>
      <c r="F235" s="152"/>
      <c r="G235" s="152"/>
      <c r="H235" s="169"/>
      <c r="I235" s="169"/>
      <c r="J235" s="76"/>
      <c r="K235" s="154"/>
      <c r="L235" s="155"/>
      <c r="M235" s="156"/>
      <c r="N235" s="285"/>
      <c r="O235" s="286"/>
      <c r="P235" s="159"/>
      <c r="Q235" s="159"/>
      <c r="R235" s="160"/>
      <c r="S235" s="160"/>
      <c r="T235" s="161"/>
      <c r="U235" s="162"/>
      <c r="V235" s="163"/>
      <c r="W235" s="163"/>
      <c r="X235" s="287">
        <v>25</v>
      </c>
      <c r="Y235" s="288">
        <v>166</v>
      </c>
      <c r="Z235" s="166"/>
    </row>
    <row r="236" spans="2:26" ht="23.4" x14ac:dyDescent="0.3">
      <c r="B236" s="283" t="s">
        <v>908</v>
      </c>
      <c r="C236" s="284" t="s">
        <v>909</v>
      </c>
      <c r="D236" s="202">
        <v>-13.542136046242696</v>
      </c>
      <c r="E236" s="202">
        <v>-71.945477840144378</v>
      </c>
      <c r="F236" s="152"/>
      <c r="G236" s="152"/>
      <c r="H236" s="169"/>
      <c r="I236" s="169"/>
      <c r="J236" s="76"/>
      <c r="K236" s="154"/>
      <c r="L236" s="155"/>
      <c r="M236" s="156"/>
      <c r="N236" s="285"/>
      <c r="O236" s="286"/>
      <c r="P236" s="159">
        <v>70</v>
      </c>
      <c r="Q236" s="159">
        <v>14072</v>
      </c>
      <c r="R236" s="160" t="s">
        <v>910</v>
      </c>
      <c r="S236" s="160" t="s">
        <v>911</v>
      </c>
      <c r="T236" s="161"/>
      <c r="U236" s="162"/>
      <c r="V236" s="163"/>
      <c r="W236" s="163"/>
      <c r="X236" s="164"/>
      <c r="Y236" s="165"/>
      <c r="Z236" s="166"/>
    </row>
    <row r="237" spans="2:26" ht="23.4" x14ac:dyDescent="0.3">
      <c r="B237" s="289" t="s">
        <v>912</v>
      </c>
      <c r="C237" s="151" t="s">
        <v>913</v>
      </c>
      <c r="D237" s="78">
        <v>-13.540119000000001</v>
      </c>
      <c r="E237" s="78">
        <v>-71.945678999999998</v>
      </c>
      <c r="F237" s="152"/>
      <c r="G237" s="152"/>
      <c r="H237" s="169"/>
      <c r="I237" s="169"/>
      <c r="J237" s="76"/>
      <c r="K237" s="154"/>
      <c r="L237" s="155"/>
      <c r="M237" s="156"/>
      <c r="N237" s="285"/>
      <c r="O237" s="286"/>
      <c r="P237" s="159">
        <v>71</v>
      </c>
      <c r="Q237" s="159">
        <v>14073</v>
      </c>
      <c r="R237" s="160" t="s">
        <v>914</v>
      </c>
      <c r="S237" s="160" t="s">
        <v>915</v>
      </c>
      <c r="T237" s="161"/>
      <c r="U237" s="162"/>
      <c r="V237" s="163"/>
      <c r="W237" s="163"/>
      <c r="X237" s="164"/>
      <c r="Y237" s="165"/>
      <c r="Z237" s="166"/>
    </row>
    <row r="238" spans="2:26" ht="23.4" x14ac:dyDescent="0.3">
      <c r="B238" s="29" t="s">
        <v>916</v>
      </c>
      <c r="C238" s="30" t="s">
        <v>917</v>
      </c>
      <c r="D238" s="47">
        <v>-13.553574633952229</v>
      </c>
      <c r="E238" s="47">
        <v>-71.943560131984796</v>
      </c>
      <c r="F238" s="72"/>
      <c r="G238" s="72"/>
      <c r="H238" s="100"/>
      <c r="I238" s="100"/>
      <c r="J238" s="50"/>
      <c r="K238" s="51"/>
      <c r="L238" s="52"/>
      <c r="M238" s="73"/>
      <c r="N238" s="104"/>
      <c r="O238" s="105"/>
      <c r="P238" s="61">
        <v>72</v>
      </c>
      <c r="Q238" s="61">
        <v>14074</v>
      </c>
      <c r="R238" s="62" t="s">
        <v>918</v>
      </c>
      <c r="S238" s="62" t="s">
        <v>919</v>
      </c>
      <c r="T238" s="57"/>
      <c r="U238" s="41"/>
      <c r="V238" s="42"/>
      <c r="W238" s="42"/>
      <c r="X238" s="69"/>
      <c r="Y238" s="70"/>
      <c r="Z238" s="74">
        <v>46237</v>
      </c>
    </row>
    <row r="239" spans="2:26" ht="23.4" x14ac:dyDescent="0.3">
      <c r="B239" s="46" t="s">
        <v>920</v>
      </c>
      <c r="C239" s="30" t="s">
        <v>921</v>
      </c>
      <c r="D239" s="47">
        <v>-13.555737451251375</v>
      </c>
      <c r="E239" s="47">
        <v>-71.941666591413735</v>
      </c>
      <c r="F239" s="72"/>
      <c r="G239" s="72"/>
      <c r="H239" s="100"/>
      <c r="I239" s="100"/>
      <c r="J239" s="50"/>
      <c r="K239" s="51"/>
      <c r="L239" s="52"/>
      <c r="M239" s="73"/>
      <c r="N239" s="104"/>
      <c r="O239" s="105"/>
      <c r="P239" s="61"/>
      <c r="Q239" s="61"/>
      <c r="R239" s="62"/>
      <c r="S239" s="62"/>
      <c r="T239" s="57"/>
      <c r="U239" s="41"/>
      <c r="V239" s="42"/>
      <c r="W239" s="42"/>
      <c r="X239" s="58">
        <v>26</v>
      </c>
      <c r="Y239" s="59">
        <v>167</v>
      </c>
      <c r="Z239" s="74">
        <v>46237</v>
      </c>
    </row>
    <row r="240" spans="2:26" ht="23.4" x14ac:dyDescent="0.3">
      <c r="B240" s="297" t="s">
        <v>922</v>
      </c>
      <c r="C240" s="151" t="s">
        <v>923</v>
      </c>
      <c r="D240" s="78">
        <v>-13.566345049105566</v>
      </c>
      <c r="E240" s="78">
        <v>-71.939756954808345</v>
      </c>
      <c r="F240" s="152"/>
      <c r="G240" s="152"/>
      <c r="H240" s="169"/>
      <c r="I240" s="169"/>
      <c r="J240" s="76"/>
      <c r="K240" s="154"/>
      <c r="L240" s="155"/>
      <c r="M240" s="156"/>
      <c r="N240" s="285"/>
      <c r="O240" s="286"/>
      <c r="P240" s="159">
        <v>73</v>
      </c>
      <c r="Q240" s="159">
        <v>14075</v>
      </c>
      <c r="R240" s="160" t="s">
        <v>924</v>
      </c>
      <c r="S240" s="160" t="s">
        <v>925</v>
      </c>
      <c r="T240" s="161"/>
      <c r="U240" s="162"/>
      <c r="V240" s="163"/>
      <c r="W240" s="163"/>
      <c r="X240" s="164"/>
      <c r="Y240" s="165"/>
      <c r="Z240" s="166"/>
    </row>
    <row r="241" spans="2:26" ht="23.4" x14ac:dyDescent="0.3">
      <c r="B241" s="46" t="s">
        <v>926</v>
      </c>
      <c r="C241" s="30" t="s">
        <v>927</v>
      </c>
      <c r="D241" s="47">
        <v>-13.561367658180695</v>
      </c>
      <c r="E241" s="47">
        <v>-71.945964115800678</v>
      </c>
      <c r="F241" s="72"/>
      <c r="G241" s="72"/>
      <c r="H241" s="100"/>
      <c r="I241" s="100"/>
      <c r="J241" s="50"/>
      <c r="K241" s="51"/>
      <c r="L241" s="52"/>
      <c r="M241" s="73"/>
      <c r="N241" s="104"/>
      <c r="O241" s="105"/>
      <c r="P241" s="61"/>
      <c r="Q241" s="61"/>
      <c r="R241" s="62"/>
      <c r="S241" s="62"/>
      <c r="T241" s="57"/>
      <c r="U241" s="41"/>
      <c r="V241" s="42"/>
      <c r="W241" s="42"/>
      <c r="X241" s="58">
        <v>27</v>
      </c>
      <c r="Y241" s="59">
        <v>168</v>
      </c>
      <c r="Z241" s="74">
        <v>46237</v>
      </c>
    </row>
    <row r="242" spans="2:26" ht="23.4" x14ac:dyDescent="0.3">
      <c r="B242" s="29" t="s">
        <v>928</v>
      </c>
      <c r="C242" s="30" t="s">
        <v>929</v>
      </c>
      <c r="D242" s="47">
        <v>-13.507749939354207</v>
      </c>
      <c r="E242" s="47">
        <v>-71.934163792895646</v>
      </c>
      <c r="F242" s="72"/>
      <c r="G242" s="72"/>
      <c r="H242" s="49"/>
      <c r="I242" s="49"/>
      <c r="J242" s="50"/>
      <c r="K242" s="51"/>
      <c r="L242" s="52"/>
      <c r="M242" s="73"/>
      <c r="N242" s="53"/>
      <c r="O242" s="54"/>
      <c r="P242" s="61">
        <v>74</v>
      </c>
      <c r="Q242" s="61">
        <v>14076</v>
      </c>
      <c r="R242" s="62" t="s">
        <v>930</v>
      </c>
      <c r="S242" s="62" t="s">
        <v>931</v>
      </c>
      <c r="T242" s="57"/>
      <c r="U242" s="41"/>
      <c r="V242" s="42"/>
      <c r="W242" s="42"/>
      <c r="X242" s="69"/>
      <c r="Y242" s="70"/>
      <c r="Z242" s="74">
        <v>46219</v>
      </c>
    </row>
    <row r="243" spans="2:26" ht="23.4" x14ac:dyDescent="0.3">
      <c r="B243" s="29" t="s">
        <v>932</v>
      </c>
      <c r="C243" s="30" t="s">
        <v>933</v>
      </c>
      <c r="D243" s="47">
        <v>-13.507680560000001</v>
      </c>
      <c r="E243" s="47">
        <v>-71.933322219999994</v>
      </c>
      <c r="F243" s="72"/>
      <c r="G243" s="72"/>
      <c r="H243" s="49"/>
      <c r="I243" s="49"/>
      <c r="J243" s="50"/>
      <c r="K243" s="51"/>
      <c r="L243" s="52"/>
      <c r="M243" s="73"/>
      <c r="N243" s="53"/>
      <c r="O243" s="54"/>
      <c r="P243" s="61"/>
      <c r="Q243" s="61"/>
      <c r="R243" s="62"/>
      <c r="S243" s="62"/>
      <c r="T243" s="57">
        <v>139</v>
      </c>
      <c r="U243" s="41"/>
      <c r="V243" s="42" t="s">
        <v>934</v>
      </c>
      <c r="W243" s="42" t="s">
        <v>935</v>
      </c>
      <c r="X243" s="69"/>
      <c r="Y243" s="70"/>
      <c r="Z243" s="74">
        <v>46219</v>
      </c>
    </row>
    <row r="244" spans="2:26" ht="23.4" x14ac:dyDescent="0.3">
      <c r="B244" s="29" t="s">
        <v>936</v>
      </c>
      <c r="C244" s="30" t="s">
        <v>937</v>
      </c>
      <c r="D244" s="47">
        <v>-13.500606109102424</v>
      </c>
      <c r="E244" s="47">
        <v>-71.934141020813456</v>
      </c>
      <c r="F244" s="72"/>
      <c r="G244" s="72"/>
      <c r="H244" s="49"/>
      <c r="I244" s="49"/>
      <c r="J244" s="50"/>
      <c r="K244" s="51"/>
      <c r="L244" s="52"/>
      <c r="M244" s="73"/>
      <c r="N244" s="53"/>
      <c r="O244" s="54"/>
      <c r="P244" s="61"/>
      <c r="Q244" s="61"/>
      <c r="R244" s="62"/>
      <c r="S244" s="62"/>
      <c r="T244" s="57"/>
      <c r="U244" s="41"/>
      <c r="V244" s="42"/>
      <c r="W244" s="42"/>
      <c r="X244" s="58">
        <v>28</v>
      </c>
      <c r="Y244" s="59">
        <v>169</v>
      </c>
      <c r="Z244" s="74">
        <v>46219</v>
      </c>
    </row>
    <row r="245" spans="2:26" ht="23.4" x14ac:dyDescent="0.3">
      <c r="B245" s="46" t="s">
        <v>938</v>
      </c>
      <c r="C245" s="30" t="s">
        <v>939</v>
      </c>
      <c r="D245" s="47">
        <v>-13.502597</v>
      </c>
      <c r="E245" s="47">
        <v>-71.928113999999994</v>
      </c>
      <c r="F245" s="72">
        <v>14587</v>
      </c>
      <c r="G245" s="72">
        <v>36</v>
      </c>
      <c r="H245" s="49" t="s">
        <v>940</v>
      </c>
      <c r="I245" s="49" t="s">
        <v>941</v>
      </c>
      <c r="J245" s="50">
        <v>2</v>
      </c>
      <c r="K245" s="51"/>
      <c r="L245" s="52"/>
      <c r="M245" s="73"/>
      <c r="N245" s="53"/>
      <c r="O245" s="54"/>
      <c r="P245" s="61">
        <v>75</v>
      </c>
      <c r="Q245" s="61">
        <v>14077</v>
      </c>
      <c r="R245" s="62" t="s">
        <v>942</v>
      </c>
      <c r="S245" s="62" t="s">
        <v>943</v>
      </c>
      <c r="T245" s="57"/>
      <c r="U245" s="41"/>
      <c r="V245" s="42"/>
      <c r="W245" s="42"/>
      <c r="X245" s="69"/>
      <c r="Y245" s="70"/>
      <c r="Z245" s="74">
        <v>46218</v>
      </c>
    </row>
    <row r="246" spans="2:26" ht="23.4" x14ac:dyDescent="0.3">
      <c r="B246" s="29" t="s">
        <v>944</v>
      </c>
      <c r="C246" s="30" t="s">
        <v>945</v>
      </c>
      <c r="D246" s="47">
        <v>-13.513397197351029</v>
      </c>
      <c r="E246" s="47">
        <v>-71.93549742202957</v>
      </c>
      <c r="F246" s="72"/>
      <c r="G246" s="72"/>
      <c r="H246" s="49"/>
      <c r="I246" s="49"/>
      <c r="J246" s="50"/>
      <c r="K246" s="51"/>
      <c r="L246" s="52"/>
      <c r="M246" s="73"/>
      <c r="N246" s="53"/>
      <c r="O246" s="54"/>
      <c r="P246" s="61">
        <v>76</v>
      </c>
      <c r="Q246" s="61">
        <v>14078</v>
      </c>
      <c r="R246" s="62" t="s">
        <v>946</v>
      </c>
      <c r="S246" s="62" t="s">
        <v>947</v>
      </c>
      <c r="T246" s="57"/>
      <c r="U246" s="41"/>
      <c r="V246" s="42"/>
      <c r="W246" s="42"/>
      <c r="X246" s="69"/>
      <c r="Y246" s="70"/>
      <c r="Z246" s="74">
        <v>46219</v>
      </c>
    </row>
    <row r="247" spans="2:26" ht="23.4" x14ac:dyDescent="0.3">
      <c r="B247" s="46" t="s">
        <v>948</v>
      </c>
      <c r="C247" s="30" t="s">
        <v>949</v>
      </c>
      <c r="D247" s="47">
        <v>-13.505645068477129</v>
      </c>
      <c r="E247" s="47">
        <v>-71.919517994367979</v>
      </c>
      <c r="F247" s="72">
        <v>14588</v>
      </c>
      <c r="G247" s="72">
        <v>37</v>
      </c>
      <c r="H247" s="49" t="s">
        <v>950</v>
      </c>
      <c r="I247" s="49" t="s">
        <v>951</v>
      </c>
      <c r="J247" s="50">
        <v>2</v>
      </c>
      <c r="K247" s="51"/>
      <c r="L247" s="52"/>
      <c r="M247" s="73"/>
      <c r="N247" s="53"/>
      <c r="O247" s="54"/>
      <c r="P247" s="61"/>
      <c r="Q247" s="61"/>
      <c r="R247" s="62"/>
      <c r="S247" s="62"/>
      <c r="T247" s="57"/>
      <c r="U247" s="41"/>
      <c r="V247" s="42"/>
      <c r="W247" s="42"/>
      <c r="X247" s="58">
        <v>29</v>
      </c>
      <c r="Y247" s="59">
        <v>170</v>
      </c>
      <c r="Z247" s="74">
        <v>46217</v>
      </c>
    </row>
    <row r="248" spans="2:26" ht="23.4" x14ac:dyDescent="0.3">
      <c r="B248" s="29" t="s">
        <v>952</v>
      </c>
      <c r="C248" s="30" t="s">
        <v>953</v>
      </c>
      <c r="D248" s="47">
        <v>-13.504690944659023</v>
      </c>
      <c r="E248" s="47">
        <v>-71.920014022792927</v>
      </c>
      <c r="F248" s="72"/>
      <c r="G248" s="72"/>
      <c r="H248" s="100"/>
      <c r="I248" s="100"/>
      <c r="J248" s="50"/>
      <c r="K248" s="51"/>
      <c r="L248" s="52"/>
      <c r="M248" s="73"/>
      <c r="N248" s="104"/>
      <c r="O248" s="105"/>
      <c r="P248" s="61">
        <v>77</v>
      </c>
      <c r="Q248" s="61">
        <v>14079</v>
      </c>
      <c r="R248" s="62" t="s">
        <v>954</v>
      </c>
      <c r="S248" s="62" t="s">
        <v>955</v>
      </c>
      <c r="T248" s="57"/>
      <c r="U248" s="41"/>
      <c r="V248" s="42"/>
      <c r="W248" s="42"/>
      <c r="X248" s="69"/>
      <c r="Y248" s="70"/>
      <c r="Z248" s="74">
        <v>46217</v>
      </c>
    </row>
    <row r="249" spans="2:26" ht="23.4" x14ac:dyDescent="0.3">
      <c r="B249" s="46" t="s">
        <v>956</v>
      </c>
      <c r="C249" s="30" t="s">
        <v>957</v>
      </c>
      <c r="D249" s="47">
        <v>-13.503519735530825</v>
      </c>
      <c r="E249" s="47">
        <v>-71.922860999969274</v>
      </c>
      <c r="F249" s="72"/>
      <c r="G249" s="72"/>
      <c r="H249" s="100"/>
      <c r="I249" s="100"/>
      <c r="J249" s="50"/>
      <c r="K249" s="51"/>
      <c r="L249" s="52"/>
      <c r="M249" s="73"/>
      <c r="N249" s="104"/>
      <c r="O249" s="105"/>
      <c r="P249" s="61"/>
      <c r="Q249" s="61"/>
      <c r="R249" s="62"/>
      <c r="S249" s="62"/>
      <c r="T249" s="57"/>
      <c r="U249" s="41"/>
      <c r="V249" s="42"/>
      <c r="W249" s="42"/>
      <c r="X249" s="58">
        <v>30</v>
      </c>
      <c r="Y249" s="59">
        <v>171</v>
      </c>
      <c r="Z249" s="74">
        <v>46218</v>
      </c>
    </row>
    <row r="250" spans="2:26" ht="23.4" x14ac:dyDescent="0.3">
      <c r="B250" s="29" t="s">
        <v>958</v>
      </c>
      <c r="C250" s="30" t="s">
        <v>959</v>
      </c>
      <c r="D250" s="47">
        <v>-13.503291571242295</v>
      </c>
      <c r="E250" s="47">
        <v>-71.924611874498282</v>
      </c>
      <c r="F250" s="72"/>
      <c r="G250" s="72"/>
      <c r="H250" s="100"/>
      <c r="I250" s="100"/>
      <c r="J250" s="50"/>
      <c r="K250" s="51"/>
      <c r="L250" s="52"/>
      <c r="M250" s="73"/>
      <c r="N250" s="104"/>
      <c r="O250" s="105"/>
      <c r="P250" s="61"/>
      <c r="Q250" s="61"/>
      <c r="R250" s="62"/>
      <c r="S250" s="62"/>
      <c r="T250" s="57"/>
      <c r="U250" s="41"/>
      <c r="V250" s="42"/>
      <c r="W250" s="42"/>
      <c r="X250" s="58">
        <v>31</v>
      </c>
      <c r="Y250" s="58">
        <v>172</v>
      </c>
      <c r="Z250" s="74">
        <v>46218</v>
      </c>
    </row>
    <row r="251" spans="2:26" ht="23.4" x14ac:dyDescent="0.3">
      <c r="B251" s="46" t="s">
        <v>960</v>
      </c>
      <c r="C251" s="30" t="s">
        <v>961</v>
      </c>
      <c r="D251" s="47">
        <v>-13.503954719631604</v>
      </c>
      <c r="E251" s="47">
        <v>-71.926604360011353</v>
      </c>
      <c r="F251" s="72"/>
      <c r="G251" s="72"/>
      <c r="H251" s="100"/>
      <c r="I251" s="100"/>
      <c r="J251" s="50"/>
      <c r="K251" s="51"/>
      <c r="L251" s="52"/>
      <c r="M251" s="73"/>
      <c r="N251" s="104"/>
      <c r="O251" s="105"/>
      <c r="P251" s="61"/>
      <c r="Q251" s="61"/>
      <c r="R251" s="62"/>
      <c r="S251" s="62"/>
      <c r="T251" s="57"/>
      <c r="U251" s="41"/>
      <c r="V251" s="42"/>
      <c r="W251" s="42"/>
      <c r="X251" s="58">
        <v>32</v>
      </c>
      <c r="Y251" s="59">
        <v>173</v>
      </c>
      <c r="Z251" s="74">
        <v>46218</v>
      </c>
    </row>
    <row r="252" spans="2:26" ht="23.4" x14ac:dyDescent="0.3">
      <c r="B252" s="29" t="s">
        <v>962</v>
      </c>
      <c r="C252" s="30" t="s">
        <v>963</v>
      </c>
      <c r="D252" s="47">
        <v>-13.53354</v>
      </c>
      <c r="E252" s="47">
        <v>-71.917522000000005</v>
      </c>
      <c r="F252" s="72"/>
      <c r="G252" s="72"/>
      <c r="H252" s="100"/>
      <c r="I252" s="100"/>
      <c r="J252" s="50"/>
      <c r="K252" s="51"/>
      <c r="L252" s="52"/>
      <c r="M252" s="73"/>
      <c r="N252" s="104"/>
      <c r="O252" s="105"/>
      <c r="P252" s="61"/>
      <c r="Q252" s="61"/>
      <c r="R252" s="62"/>
      <c r="S252" s="62"/>
      <c r="T252" s="57"/>
      <c r="U252" s="41"/>
      <c r="V252" s="42"/>
      <c r="W252" s="42"/>
      <c r="X252" s="58">
        <v>33</v>
      </c>
      <c r="Y252" s="58">
        <v>174</v>
      </c>
      <c r="Z252" s="74">
        <v>46184</v>
      </c>
    </row>
    <row r="253" spans="2:26" ht="23.4" x14ac:dyDescent="0.3">
      <c r="B253" s="46" t="s">
        <v>964</v>
      </c>
      <c r="C253" s="30" t="s">
        <v>965</v>
      </c>
      <c r="D253" s="47">
        <v>-13.48972779635989</v>
      </c>
      <c r="E253" s="47">
        <v>-71.915909543285622</v>
      </c>
      <c r="F253" s="72">
        <v>14589</v>
      </c>
      <c r="G253" s="72">
        <v>38</v>
      </c>
      <c r="H253" s="100" t="s">
        <v>966</v>
      </c>
      <c r="I253" s="100" t="s">
        <v>967</v>
      </c>
      <c r="J253" s="50">
        <v>2</v>
      </c>
      <c r="K253" s="51"/>
      <c r="L253" s="52"/>
      <c r="M253" s="73"/>
      <c r="N253" s="104"/>
      <c r="O253" s="105"/>
      <c r="P253" s="61">
        <v>78</v>
      </c>
      <c r="Q253" s="61">
        <v>14080</v>
      </c>
      <c r="R253" s="62" t="s">
        <v>968</v>
      </c>
      <c r="S253" s="62" t="s">
        <v>969</v>
      </c>
      <c r="T253" s="57"/>
      <c r="U253" s="41"/>
      <c r="V253" s="42"/>
      <c r="W253" s="42"/>
      <c r="X253" s="69"/>
      <c r="Y253" s="70"/>
      <c r="Z253" s="74">
        <v>46238</v>
      </c>
    </row>
    <row r="254" spans="2:26" ht="23.4" x14ac:dyDescent="0.3">
      <c r="B254" s="103" t="s">
        <v>970</v>
      </c>
      <c r="C254" s="30" t="s">
        <v>971</v>
      </c>
      <c r="D254" s="47">
        <v>-13.543177733716433</v>
      </c>
      <c r="E254" s="47">
        <v>-71.91518446012077</v>
      </c>
      <c r="F254" s="72"/>
      <c r="G254" s="72"/>
      <c r="H254" s="100"/>
      <c r="I254" s="100"/>
      <c r="J254" s="50"/>
      <c r="K254" s="51"/>
      <c r="L254" s="52"/>
      <c r="M254" s="73"/>
      <c r="N254" s="104"/>
      <c r="O254" s="105"/>
      <c r="P254" s="61"/>
      <c r="Q254" s="61"/>
      <c r="R254" s="62"/>
      <c r="S254" s="62"/>
      <c r="T254" s="57"/>
      <c r="U254" s="41"/>
      <c r="V254" s="42"/>
      <c r="W254" s="42"/>
      <c r="X254" s="58">
        <v>34</v>
      </c>
      <c r="Y254" s="59">
        <v>175</v>
      </c>
      <c r="Z254" s="74">
        <v>46229</v>
      </c>
    </row>
    <row r="255" spans="2:26" ht="23.4" x14ac:dyDescent="0.3">
      <c r="B255" s="298" t="s">
        <v>972</v>
      </c>
      <c r="C255" s="30" t="s">
        <v>973</v>
      </c>
      <c r="D255" s="78">
        <v>-13.546200740480664</v>
      </c>
      <c r="E255" s="78">
        <v>-71.913864282678546</v>
      </c>
      <c r="F255" s="72"/>
      <c r="G255" s="72"/>
      <c r="H255" s="100"/>
      <c r="I255" s="100"/>
      <c r="J255" s="50"/>
      <c r="K255" s="51"/>
      <c r="L255" s="52"/>
      <c r="M255" s="73"/>
      <c r="N255" s="104"/>
      <c r="O255" s="105"/>
      <c r="P255" s="61"/>
      <c r="Q255" s="61"/>
      <c r="R255" s="62"/>
      <c r="S255" s="62"/>
      <c r="T255" s="57"/>
      <c r="U255" s="41"/>
      <c r="V255" s="42"/>
      <c r="W255" s="42"/>
      <c r="X255" s="58">
        <v>35</v>
      </c>
      <c r="Y255" s="59">
        <v>176</v>
      </c>
      <c r="Z255" s="74">
        <v>46227</v>
      </c>
    </row>
    <row r="256" spans="2:26" ht="23.4" x14ac:dyDescent="0.3">
      <c r="B256" s="29" t="s">
        <v>974</v>
      </c>
      <c r="C256" s="30" t="s">
        <v>975</v>
      </c>
      <c r="D256" s="47">
        <v>-13.48172948353899</v>
      </c>
      <c r="E256" s="47">
        <v>-71.922558831187871</v>
      </c>
      <c r="F256" s="72"/>
      <c r="G256" s="72"/>
      <c r="H256" s="49"/>
      <c r="I256" s="49"/>
      <c r="J256" s="50"/>
      <c r="K256" s="51"/>
      <c r="L256" s="52"/>
      <c r="M256" s="73"/>
      <c r="N256" s="104"/>
      <c r="O256" s="105"/>
      <c r="P256" s="61">
        <v>79</v>
      </c>
      <c r="Q256" s="61">
        <v>14081</v>
      </c>
      <c r="R256" s="62" t="s">
        <v>976</v>
      </c>
      <c r="S256" s="62" t="s">
        <v>977</v>
      </c>
      <c r="T256" s="57"/>
      <c r="U256" s="41"/>
      <c r="V256" s="42"/>
      <c r="W256" s="42"/>
      <c r="X256" s="69"/>
      <c r="Y256" s="70"/>
      <c r="Z256" s="74">
        <v>46216</v>
      </c>
    </row>
    <row r="257" spans="2:26" ht="23.4" x14ac:dyDescent="0.3">
      <c r="B257" s="46" t="s">
        <v>978</v>
      </c>
      <c r="C257" s="30" t="s">
        <v>979</v>
      </c>
      <c r="D257" s="47">
        <v>-13.477941171407126</v>
      </c>
      <c r="E257" s="47">
        <v>-71.922900373603838</v>
      </c>
      <c r="F257" s="72"/>
      <c r="G257" s="72"/>
      <c r="H257" s="100"/>
      <c r="I257" s="100"/>
      <c r="J257" s="50"/>
      <c r="K257" s="51"/>
      <c r="L257" s="52"/>
      <c r="M257" s="73"/>
      <c r="N257" s="53"/>
      <c r="O257" s="54"/>
      <c r="P257" s="61"/>
      <c r="Q257" s="61"/>
      <c r="R257" s="62"/>
      <c r="S257" s="62"/>
      <c r="T257" s="57"/>
      <c r="U257" s="41"/>
      <c r="V257" s="42"/>
      <c r="W257" s="42"/>
      <c r="X257" s="58">
        <v>36</v>
      </c>
      <c r="Y257" s="59">
        <v>177</v>
      </c>
      <c r="Z257" s="74">
        <v>46216</v>
      </c>
    </row>
    <row r="258" spans="2:26" ht="23.4" x14ac:dyDescent="0.3">
      <c r="B258" s="29" t="s">
        <v>980</v>
      </c>
      <c r="C258" s="30" t="s">
        <v>981</v>
      </c>
      <c r="D258" s="47">
        <v>-13.472546480174943</v>
      </c>
      <c r="E258" s="47">
        <v>-71.921579701113288</v>
      </c>
      <c r="F258" s="72">
        <v>14590</v>
      </c>
      <c r="G258" s="72">
        <v>39</v>
      </c>
      <c r="H258" s="291" t="s">
        <v>982</v>
      </c>
      <c r="I258" s="291" t="s">
        <v>983</v>
      </c>
      <c r="J258" s="50">
        <v>2</v>
      </c>
      <c r="K258" s="51"/>
      <c r="L258" s="52">
        <v>40</v>
      </c>
      <c r="M258" s="73">
        <v>40</v>
      </c>
      <c r="N258" s="53" t="s">
        <v>984</v>
      </c>
      <c r="O258" s="54" t="s">
        <v>985</v>
      </c>
      <c r="P258" s="61"/>
      <c r="Q258" s="61"/>
      <c r="R258" s="62"/>
      <c r="S258" s="62"/>
      <c r="T258" s="57"/>
      <c r="U258" s="41"/>
      <c r="V258" s="42"/>
      <c r="W258" s="42"/>
      <c r="X258" s="58">
        <v>37</v>
      </c>
      <c r="Y258" s="59">
        <v>178</v>
      </c>
      <c r="Z258" s="74">
        <v>46216</v>
      </c>
    </row>
    <row r="259" spans="2:26" ht="23.4" x14ac:dyDescent="0.3">
      <c r="B259" s="30" t="s">
        <v>986</v>
      </c>
      <c r="C259" s="30" t="s">
        <v>987</v>
      </c>
      <c r="D259" s="299">
        <v>-13.544905306187509</v>
      </c>
      <c r="E259" s="299">
        <v>-71.922701419930775</v>
      </c>
      <c r="F259" s="72"/>
      <c r="G259" s="72"/>
      <c r="H259" s="100"/>
      <c r="I259" s="100"/>
      <c r="J259" s="50"/>
      <c r="K259" s="51"/>
      <c r="L259" s="52"/>
      <c r="M259" s="73"/>
      <c r="N259" s="53"/>
      <c r="O259" s="54"/>
      <c r="P259" s="61">
        <v>80</v>
      </c>
      <c r="Q259" s="61">
        <v>14082</v>
      </c>
      <c r="R259" s="62" t="s">
        <v>988</v>
      </c>
      <c r="S259" s="62" t="s">
        <v>989</v>
      </c>
      <c r="T259" s="57"/>
      <c r="U259" s="41"/>
      <c r="V259" s="42"/>
      <c r="W259" s="42"/>
      <c r="X259" s="58"/>
      <c r="Y259" s="59"/>
      <c r="Z259" s="74">
        <v>46234</v>
      </c>
    </row>
    <row r="260" spans="2:26" ht="23.4" x14ac:dyDescent="0.3">
      <c r="B260" s="29" t="s">
        <v>990</v>
      </c>
      <c r="C260" s="30" t="s">
        <v>991</v>
      </c>
      <c r="D260" s="47">
        <v>-13.478683717267716</v>
      </c>
      <c r="E260" s="47">
        <v>-71.925059715595992</v>
      </c>
      <c r="F260" s="72"/>
      <c r="G260" s="72"/>
      <c r="H260" s="100"/>
      <c r="I260" s="100"/>
      <c r="J260" s="50"/>
      <c r="K260" s="51"/>
      <c r="L260" s="52"/>
      <c r="M260" s="53"/>
      <c r="N260" s="53"/>
      <c r="O260" s="54"/>
      <c r="P260" s="61"/>
      <c r="Q260" s="61"/>
      <c r="R260" s="62"/>
      <c r="S260" s="62"/>
      <c r="T260" s="57"/>
      <c r="U260" s="41"/>
      <c r="V260" s="42"/>
      <c r="W260" s="42"/>
      <c r="X260" s="58">
        <v>38</v>
      </c>
      <c r="Y260" s="59">
        <v>179</v>
      </c>
      <c r="Z260" s="74">
        <v>46217</v>
      </c>
    </row>
    <row r="261" spans="2:26" ht="23.4" x14ac:dyDescent="0.3">
      <c r="B261" s="300" t="s">
        <v>992</v>
      </c>
      <c r="C261" s="151" t="s">
        <v>993</v>
      </c>
      <c r="D261" s="78">
        <v>-13.587187926577409</v>
      </c>
      <c r="E261" s="78">
        <v>-71.909941931006927</v>
      </c>
      <c r="F261" s="152"/>
      <c r="G261" s="152"/>
      <c r="H261" s="169"/>
      <c r="I261" s="169"/>
      <c r="J261" s="76"/>
      <c r="K261" s="154"/>
      <c r="L261" s="155"/>
      <c r="M261" s="285"/>
      <c r="N261" s="285"/>
      <c r="O261" s="286"/>
      <c r="P261" s="159"/>
      <c r="Q261" s="159"/>
      <c r="R261" s="160"/>
      <c r="S261" s="160"/>
      <c r="T261" s="161">
        <v>140</v>
      </c>
      <c r="U261" s="162"/>
      <c r="V261" s="163" t="s">
        <v>994</v>
      </c>
      <c r="W261" s="163" t="s">
        <v>995</v>
      </c>
      <c r="X261" s="164"/>
      <c r="Y261" s="165"/>
      <c r="Z261" s="166"/>
    </row>
    <row r="262" spans="2:26" ht="23.4" x14ac:dyDescent="0.3">
      <c r="B262" s="297" t="s">
        <v>996</v>
      </c>
      <c r="C262" s="151" t="s">
        <v>997</v>
      </c>
      <c r="D262" s="78">
        <v>-13.567347965406739</v>
      </c>
      <c r="E262" s="78">
        <v>-71.932817497153295</v>
      </c>
      <c r="F262" s="152"/>
      <c r="G262" s="152"/>
      <c r="H262" s="169"/>
      <c r="I262" s="169"/>
      <c r="J262" s="76"/>
      <c r="K262" s="154"/>
      <c r="L262" s="155"/>
      <c r="M262" s="285"/>
      <c r="N262" s="285"/>
      <c r="O262" s="286"/>
      <c r="P262" s="159"/>
      <c r="Q262" s="159"/>
      <c r="R262" s="160"/>
      <c r="S262" s="160"/>
      <c r="T262" s="161">
        <v>141</v>
      </c>
      <c r="U262" s="162"/>
      <c r="V262" s="163" t="s">
        <v>998</v>
      </c>
      <c r="W262" s="163" t="s">
        <v>999</v>
      </c>
      <c r="X262" s="164"/>
      <c r="Y262" s="165"/>
      <c r="Z262" s="166"/>
    </row>
    <row r="263" spans="2:26" ht="23.4" x14ac:dyDescent="0.3">
      <c r="B263" s="46" t="s">
        <v>1000</v>
      </c>
      <c r="C263" s="30" t="s">
        <v>1001</v>
      </c>
      <c r="D263" s="47">
        <v>-13.531747276540644</v>
      </c>
      <c r="E263" s="47">
        <v>-71.934928454701051</v>
      </c>
      <c r="F263" s="72"/>
      <c r="G263" s="72"/>
      <c r="H263" s="100"/>
      <c r="I263" s="100"/>
      <c r="J263" s="50"/>
      <c r="K263" s="51"/>
      <c r="L263" s="52"/>
      <c r="M263" s="104"/>
      <c r="N263" s="104"/>
      <c r="O263" s="105"/>
      <c r="P263" s="61"/>
      <c r="Q263" s="61"/>
      <c r="R263" s="62"/>
      <c r="S263" s="62"/>
      <c r="T263" s="57"/>
      <c r="U263" s="41"/>
      <c r="V263" s="42"/>
      <c r="W263" s="42"/>
      <c r="X263" s="58">
        <v>39</v>
      </c>
      <c r="Y263" s="59">
        <v>180</v>
      </c>
      <c r="Z263" s="74">
        <v>46157</v>
      </c>
    </row>
    <row r="264" spans="2:26" ht="23.4" x14ac:dyDescent="0.3">
      <c r="B264" s="29" t="s">
        <v>1002</v>
      </c>
      <c r="C264" s="30" t="s">
        <v>1003</v>
      </c>
      <c r="D264" s="47">
        <v>-13.531943</v>
      </c>
      <c r="E264" s="47">
        <v>-71.925849999999997</v>
      </c>
      <c r="F264" s="72">
        <v>14591</v>
      </c>
      <c r="G264" s="72">
        <v>40</v>
      </c>
      <c r="H264" s="100" t="s">
        <v>1004</v>
      </c>
      <c r="I264" s="100" t="s">
        <v>1005</v>
      </c>
      <c r="J264" s="50">
        <v>2.5</v>
      </c>
      <c r="K264" s="51"/>
      <c r="L264" s="52"/>
      <c r="M264" s="104"/>
      <c r="N264" s="104"/>
      <c r="O264" s="105"/>
      <c r="P264" s="61"/>
      <c r="Q264" s="61"/>
      <c r="R264" s="62"/>
      <c r="S264" s="62"/>
      <c r="T264" s="57"/>
      <c r="U264" s="41"/>
      <c r="V264" s="42"/>
      <c r="W264" s="42"/>
      <c r="X264" s="58">
        <v>40</v>
      </c>
      <c r="Y264" s="59">
        <v>181</v>
      </c>
      <c r="Z264" s="74">
        <v>46150</v>
      </c>
    </row>
    <row r="265" spans="2:26" ht="27" x14ac:dyDescent="0.5">
      <c r="B265" s="301" t="s">
        <v>1006</v>
      </c>
      <c r="C265" s="302"/>
      <c r="F265" s="303"/>
      <c r="G265" s="303"/>
      <c r="H265" s="304">
        <f t="shared" ref="H265:O265" si="0">COUNTIF(H4:H264,"*")</f>
        <v>40</v>
      </c>
      <c r="I265" s="305">
        <f t="shared" si="0"/>
        <v>41</v>
      </c>
      <c r="J265" s="305">
        <f t="shared" si="0"/>
        <v>0</v>
      </c>
      <c r="K265" s="305">
        <f t="shared" si="0"/>
        <v>35</v>
      </c>
      <c r="L265" s="305">
        <f t="shared" si="0"/>
        <v>0</v>
      </c>
      <c r="M265" s="305">
        <f t="shared" si="0"/>
        <v>0</v>
      </c>
      <c r="N265" s="305">
        <f t="shared" si="0"/>
        <v>40</v>
      </c>
      <c r="O265" s="305">
        <f t="shared" si="0"/>
        <v>40</v>
      </c>
      <c r="P265" s="305">
        <f>COUNTIF(P5:P264,"*")</f>
        <v>0</v>
      </c>
      <c r="Q265" s="305">
        <f>COUNTIF(Q5:Q264,"*")</f>
        <v>0</v>
      </c>
      <c r="R265" s="305">
        <f>COUNTIF(R5:R264,"*")</f>
        <v>80</v>
      </c>
      <c r="S265" s="305">
        <f>COUNTIF(S5:S264,"*")</f>
        <v>80</v>
      </c>
      <c r="T265" s="306">
        <f>COUNT(T4:T264)</f>
        <v>49</v>
      </c>
      <c r="U265" s="307"/>
      <c r="V265" s="307">
        <f>COUNTIF(V4:V264,"*")</f>
        <v>49</v>
      </c>
      <c r="W265" s="307">
        <f>COUNTIF(W4:W264,"*")</f>
        <v>50</v>
      </c>
      <c r="X265" s="308">
        <f>COUNT(X4:X264)</f>
        <v>132</v>
      </c>
      <c r="Y265" s="309"/>
      <c r="Z265" s="310">
        <f>COUNT(Z4:Z264)</f>
        <v>229</v>
      </c>
    </row>
  </sheetData>
  <autoFilter ref="B2:Z265" xr:uid="{00000000-0009-0000-0000-000000000000}"/>
  <mergeCells count="5">
    <mergeCell ref="F2:I2"/>
    <mergeCell ref="K2:O2"/>
    <mergeCell ref="P2:S2"/>
    <mergeCell ref="T2:W2"/>
    <mergeCell ref="X2:Y2"/>
  </mergeCells>
  <dataValidations count="1">
    <dataValidation type="list" allowBlank="1" showErrorMessage="1" sqref="D186" xr:uid="{C562D23A-D7AC-4A72-B559-088CC126098C}">
      <formula1>"-13.543171"</formula1>
    </dataValidation>
  </dataValidations>
  <hyperlinks>
    <hyperlink ref="A170" r:id="rId1" xr:uid="{7C22C131-CDB7-47A0-B37E-4917432266AE}"/>
    <hyperlink ref="A171" r:id="rId2" xr:uid="{7FACCEAF-2CC5-443A-A97B-6DFD3E82A61F}"/>
  </hyperlink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marocho capa</dc:creator>
  <cp:lastModifiedBy>Claudio Cespedes</cp:lastModifiedBy>
  <dcterms:created xsi:type="dcterms:W3CDTF">2026-08-05T15:39:31Z</dcterms:created>
  <dcterms:modified xsi:type="dcterms:W3CDTF">2026-08-05T19:39:43Z</dcterms:modified>
</cp:coreProperties>
</file>