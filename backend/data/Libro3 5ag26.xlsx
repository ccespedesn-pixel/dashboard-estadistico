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8_{84D704FB-8DA5-4EB0-9DEC-914C1F954599}" xr6:coauthVersionLast="47" xr6:coauthVersionMax="47" xr10:uidLastSave="{00000000-0000-0000-0000-000000000000}"/>
  <bookViews>
    <workbookView xWindow="-108" yWindow="-108" windowWidth="23256" windowHeight="13896" xr2:uid="{383C3C17-25EE-4E4E-ADE6-22117316285A}"/>
  </bookViews>
  <sheets>
    <sheet name="DATOS BOTONES" sheetId="1" r:id="rId1"/>
  </sheets>
  <definedNames>
    <definedName name="_xlnm._FilterDatabase" localSheetId="0" hidden="1">'DATOS BOTONES'!$A$2:$I$22</definedName>
    <definedName name="_xlnm.Print_Titles" localSheetId="0">'DATOS BOTONES'!$1:$2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G22" i="1"/>
  <c r="H22" i="1" s="1"/>
  <c r="F22" i="1"/>
  <c r="E22" i="1"/>
  <c r="G21" i="1"/>
  <c r="I21" i="1" s="1"/>
  <c r="F21" i="1"/>
  <c r="E21" i="1"/>
  <c r="I20" i="1"/>
  <c r="G20" i="1"/>
  <c r="H20" i="1" s="1"/>
  <c r="F20" i="1"/>
  <c r="E20" i="1"/>
  <c r="G19" i="1"/>
  <c r="I19" i="1" s="1"/>
  <c r="F19" i="1"/>
  <c r="E19" i="1"/>
  <c r="I18" i="1"/>
  <c r="H18" i="1"/>
  <c r="G18" i="1"/>
  <c r="F18" i="1"/>
  <c r="E18" i="1"/>
  <c r="G17" i="1"/>
  <c r="I17" i="1" s="1"/>
  <c r="F17" i="1"/>
  <c r="E17" i="1"/>
  <c r="G16" i="1"/>
  <c r="H16" i="1" s="1"/>
  <c r="F16" i="1"/>
  <c r="E16" i="1"/>
  <c r="G15" i="1"/>
  <c r="I15" i="1" s="1"/>
  <c r="F15" i="1"/>
  <c r="E15" i="1"/>
  <c r="G14" i="1"/>
  <c r="I14" i="1" s="1"/>
  <c r="F14" i="1"/>
  <c r="E14" i="1"/>
  <c r="G13" i="1"/>
  <c r="I13" i="1" s="1"/>
  <c r="F13" i="1"/>
  <c r="E13" i="1"/>
  <c r="G12" i="1"/>
  <c r="H12" i="1" s="1"/>
  <c r="F12" i="1"/>
  <c r="E12" i="1"/>
  <c r="G11" i="1"/>
  <c r="I11" i="1" s="1"/>
  <c r="F11" i="1"/>
  <c r="E11" i="1"/>
  <c r="G10" i="1"/>
  <c r="H10" i="1" s="1"/>
  <c r="F10" i="1"/>
  <c r="E10" i="1"/>
  <c r="I9" i="1"/>
  <c r="H9" i="1"/>
  <c r="G9" i="1"/>
  <c r="F9" i="1"/>
  <c r="E9" i="1"/>
  <c r="G8" i="1"/>
  <c r="I8" i="1" s="1"/>
  <c r="F8" i="1"/>
  <c r="E8" i="1"/>
  <c r="I7" i="1"/>
  <c r="H7" i="1"/>
  <c r="G7" i="1"/>
  <c r="F7" i="1"/>
  <c r="E7" i="1"/>
  <c r="G6" i="1"/>
  <c r="I6" i="1" s="1"/>
  <c r="F6" i="1"/>
  <c r="E6" i="1"/>
  <c r="G5" i="1"/>
  <c r="I5" i="1" s="1"/>
  <c r="F5" i="1"/>
  <c r="E5" i="1"/>
  <c r="I4" i="1"/>
  <c r="H4" i="1"/>
  <c r="G4" i="1"/>
  <c r="F4" i="1"/>
  <c r="E4" i="1"/>
  <c r="G3" i="1"/>
  <c r="I3" i="1" s="1"/>
  <c r="F3" i="1"/>
  <c r="E3" i="1"/>
  <c r="H19" i="1" l="1"/>
  <c r="H6" i="1"/>
  <c r="H15" i="1"/>
  <c r="H11" i="1"/>
  <c r="H21" i="1"/>
  <c r="H8" i="1"/>
  <c r="H17" i="1"/>
  <c r="H5" i="1"/>
  <c r="H14" i="1"/>
  <c r="I10" i="1"/>
  <c r="H3" i="1"/>
  <c r="I16" i="1"/>
  <c r="I12" i="1"/>
  <c r="H13" i="1"/>
</calcChain>
</file>

<file path=xl/sharedStrings.xml><?xml version="1.0" encoding="utf-8"?>
<sst xmlns="http://schemas.openxmlformats.org/spreadsheetml/2006/main" count="31" uniqueCount="16">
  <si>
    <t>BOTONES — datos base</t>
  </si>
  <si>
    <t>NUMERO = poste de 13M donde va el botón. Edita SOLO las celdas azules (C:D). 1 = completado · vacío = pendiente.</t>
  </si>
  <si>
    <t>NUMERO (poste 13M)</t>
  </si>
  <si>
    <t>TIPO</t>
  </si>
  <si>
    <t>CABLE</t>
  </si>
  <si>
    <t>BASE</t>
  </si>
  <si>
    <t>ESTADO CABLE</t>
  </si>
  <si>
    <t>ESTADO BASE</t>
  </si>
  <si>
    <t>TAREAS COMPLETADAS</t>
  </si>
  <si>
    <t>% AVANCE DEL BOTON</t>
  </si>
  <si>
    <t>ESTADO GENERAL</t>
  </si>
  <si>
    <t>TERRENO NATURAL</t>
  </si>
  <si>
    <t>VEREDA</t>
  </si>
  <si>
    <t>ADOQUIN ROJO</t>
  </si>
  <si>
    <t>ADOQUIN</t>
  </si>
  <si>
    <t>SARDINEL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</si>
</sst>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058-B66D-43B9-9F57-83D28F03EB53}">
  <sheetPr>
    <tabColor rgb="FF2E75B6"/>
    <pageSetUpPr fitToPage="1"/>
  </sheetPr>
  <dimension ref="A1:I2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4.4" x14ac:dyDescent="0.3"/>
  <cols>
    <col min="1" max="1" width="17" customWidth="1"/>
    <col min="2" max="2" width="18" customWidth="1"/>
    <col min="3" max="4" width="9" customWidth="1"/>
    <col min="5" max="6" width="14" customWidth="1"/>
    <col min="7" max="8" width="13" customWidth="1"/>
    <col min="9" max="9" width="15" customWidth="1"/>
  </cols>
  <sheetData>
    <row r="1" spans="1:9" ht="17.399999999999999" x14ac:dyDescent="0.3">
      <c r="A1" s="1" t="s">
        <v>0</v>
      </c>
      <c r="C1" s="2" t="s">
        <v>1</v>
      </c>
    </row>
    <row r="2" spans="1:9" ht="30" customHeight="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">
      <c r="A3" s="4">
        <v>3</v>
      </c>
      <c r="B3" s="4" t="s">
        <v>11</v>
      </c>
      <c r="C3" s="5">
        <v>1</v>
      </c>
      <c r="D3" s="5">
        <v>1</v>
      </c>
      <c r="E3" s="4" t="str">
        <f t="shared" ref="E3:F22" si="0">IF(C3="","Pendiente","Completado")</f>
        <v>Completado</v>
      </c>
      <c r="F3" s="4" t="str">
        <f t="shared" si="0"/>
        <v>Completado</v>
      </c>
      <c r="G3" s="4">
        <f t="shared" ref="G3:G22" si="1">COUNTIF(C3:D3,1)</f>
        <v>2</v>
      </c>
      <c r="H3" s="6">
        <f t="shared" ref="H3:H22" si="2">G3/2</f>
        <v>1</v>
      </c>
      <c r="I3" s="4" t="str">
        <f t="shared" ref="I3:I22" si="3">IF(G3=2,"Terminado",IF(G3=0,"Sin iniciar","En proceso"))</f>
        <v>Terminado</v>
      </c>
    </row>
    <row r="4" spans="1:9" x14ac:dyDescent="0.3">
      <c r="A4" s="4">
        <v>19</v>
      </c>
      <c r="B4" s="4" t="s">
        <v>12</v>
      </c>
      <c r="C4" s="5">
        <v>1</v>
      </c>
      <c r="D4" s="5">
        <v>1</v>
      </c>
      <c r="E4" s="4" t="str">
        <f t="shared" si="0"/>
        <v>Completado</v>
      </c>
      <c r="F4" s="4" t="str">
        <f t="shared" si="0"/>
        <v>Completado</v>
      </c>
      <c r="G4" s="4">
        <f t="shared" si="1"/>
        <v>2</v>
      </c>
      <c r="H4" s="6">
        <f t="shared" si="2"/>
        <v>1</v>
      </c>
      <c r="I4" s="4" t="str">
        <f t="shared" si="3"/>
        <v>Terminado</v>
      </c>
    </row>
    <row r="5" spans="1:9" x14ac:dyDescent="0.3">
      <c r="A5" s="4">
        <v>16</v>
      </c>
      <c r="B5" s="4" t="s">
        <v>11</v>
      </c>
      <c r="C5" s="5">
        <v>1</v>
      </c>
      <c r="D5" s="5">
        <v>1</v>
      </c>
      <c r="E5" s="4" t="str">
        <f t="shared" si="0"/>
        <v>Completado</v>
      </c>
      <c r="F5" s="4" t="str">
        <f t="shared" si="0"/>
        <v>Completado</v>
      </c>
      <c r="G5" s="4">
        <f t="shared" si="1"/>
        <v>2</v>
      </c>
      <c r="H5" s="6">
        <f t="shared" si="2"/>
        <v>1</v>
      </c>
      <c r="I5" s="4" t="str">
        <f t="shared" si="3"/>
        <v>Terminado</v>
      </c>
    </row>
    <row r="6" spans="1:9" x14ac:dyDescent="0.3">
      <c r="A6" s="4">
        <v>12</v>
      </c>
      <c r="B6" s="4" t="s">
        <v>11</v>
      </c>
      <c r="C6" s="5">
        <v>1</v>
      </c>
      <c r="D6" s="5">
        <v>1</v>
      </c>
      <c r="E6" s="4" t="str">
        <f t="shared" si="0"/>
        <v>Completado</v>
      </c>
      <c r="F6" s="4" t="str">
        <f t="shared" si="0"/>
        <v>Completado</v>
      </c>
      <c r="G6" s="4">
        <f t="shared" si="1"/>
        <v>2</v>
      </c>
      <c r="H6" s="6">
        <f t="shared" si="2"/>
        <v>1</v>
      </c>
      <c r="I6" s="4" t="str">
        <f t="shared" si="3"/>
        <v>Terminado</v>
      </c>
    </row>
    <row r="7" spans="1:9" x14ac:dyDescent="0.3">
      <c r="A7" s="4">
        <v>17</v>
      </c>
      <c r="B7" s="4" t="s">
        <v>11</v>
      </c>
      <c r="C7" s="5">
        <v>1</v>
      </c>
      <c r="D7" s="5">
        <v>1</v>
      </c>
      <c r="E7" s="4" t="str">
        <f t="shared" si="0"/>
        <v>Completado</v>
      </c>
      <c r="F7" s="4" t="str">
        <f t="shared" si="0"/>
        <v>Completado</v>
      </c>
      <c r="G7" s="4">
        <f t="shared" si="1"/>
        <v>2</v>
      </c>
      <c r="H7" s="6">
        <f t="shared" si="2"/>
        <v>1</v>
      </c>
      <c r="I7" s="4" t="str">
        <f t="shared" si="3"/>
        <v>Terminado</v>
      </c>
    </row>
    <row r="8" spans="1:9" x14ac:dyDescent="0.3">
      <c r="A8" s="4">
        <v>31</v>
      </c>
      <c r="B8" s="4" t="s">
        <v>11</v>
      </c>
      <c r="C8" s="5">
        <v>1</v>
      </c>
      <c r="D8" s="5">
        <v>1</v>
      </c>
      <c r="E8" s="4" t="str">
        <f t="shared" si="0"/>
        <v>Completado</v>
      </c>
      <c r="F8" s="4" t="str">
        <f t="shared" si="0"/>
        <v>Completado</v>
      </c>
      <c r="G8" s="4">
        <f t="shared" si="1"/>
        <v>2</v>
      </c>
      <c r="H8" s="6">
        <f t="shared" si="2"/>
        <v>1</v>
      </c>
      <c r="I8" s="4" t="str">
        <f t="shared" si="3"/>
        <v>Terminado</v>
      </c>
    </row>
    <row r="9" spans="1:9" x14ac:dyDescent="0.3">
      <c r="A9" s="4">
        <v>37</v>
      </c>
      <c r="B9" s="4" t="s">
        <v>12</v>
      </c>
      <c r="C9" s="5"/>
      <c r="D9" s="5"/>
      <c r="E9" s="4" t="str">
        <f t="shared" si="0"/>
        <v>Pendiente</v>
      </c>
      <c r="F9" s="4" t="str">
        <f t="shared" si="0"/>
        <v>Pendiente</v>
      </c>
      <c r="G9" s="4">
        <f t="shared" si="1"/>
        <v>0</v>
      </c>
      <c r="H9" s="6">
        <f t="shared" si="2"/>
        <v>0</v>
      </c>
      <c r="I9" s="4" t="str">
        <f t="shared" si="3"/>
        <v>Sin iniciar</v>
      </c>
    </row>
    <row r="10" spans="1:9" x14ac:dyDescent="0.3">
      <c r="A10" s="4">
        <v>50</v>
      </c>
      <c r="B10" s="4" t="s">
        <v>13</v>
      </c>
      <c r="C10" s="5">
        <v>1</v>
      </c>
      <c r="D10" s="5">
        <v>1</v>
      </c>
      <c r="E10" s="4" t="str">
        <f t="shared" si="0"/>
        <v>Completado</v>
      </c>
      <c r="F10" s="4" t="str">
        <f t="shared" si="0"/>
        <v>Completado</v>
      </c>
      <c r="G10" s="4">
        <f t="shared" si="1"/>
        <v>2</v>
      </c>
      <c r="H10" s="6">
        <f t="shared" si="2"/>
        <v>1</v>
      </c>
      <c r="I10" s="4" t="str">
        <f t="shared" si="3"/>
        <v>Terminado</v>
      </c>
    </row>
    <row r="11" spans="1:9" x14ac:dyDescent="0.3">
      <c r="A11" s="4">
        <v>72</v>
      </c>
      <c r="B11" s="4" t="s">
        <v>14</v>
      </c>
      <c r="C11" s="5">
        <v>1</v>
      </c>
      <c r="D11" s="5"/>
      <c r="E11" s="4" t="str">
        <f t="shared" si="0"/>
        <v>Completado</v>
      </c>
      <c r="F11" s="4" t="str">
        <f t="shared" si="0"/>
        <v>Pendiente</v>
      </c>
      <c r="G11" s="4">
        <f t="shared" si="1"/>
        <v>1</v>
      </c>
      <c r="H11" s="6">
        <f t="shared" si="2"/>
        <v>0.5</v>
      </c>
      <c r="I11" s="4" t="str">
        <f t="shared" si="3"/>
        <v>En proceso</v>
      </c>
    </row>
    <row r="12" spans="1:9" x14ac:dyDescent="0.3">
      <c r="A12" s="4">
        <v>74</v>
      </c>
      <c r="B12" s="4" t="s">
        <v>12</v>
      </c>
      <c r="C12" s="5">
        <v>1</v>
      </c>
      <c r="D12" s="5">
        <v>1</v>
      </c>
      <c r="E12" s="4" t="str">
        <f t="shared" si="0"/>
        <v>Completado</v>
      </c>
      <c r="F12" s="4" t="str">
        <f t="shared" si="0"/>
        <v>Completado</v>
      </c>
      <c r="G12" s="4">
        <f t="shared" si="1"/>
        <v>2</v>
      </c>
      <c r="H12" s="6">
        <f t="shared" si="2"/>
        <v>1</v>
      </c>
      <c r="I12" s="4" t="str">
        <f t="shared" si="3"/>
        <v>Terminado</v>
      </c>
    </row>
    <row r="13" spans="1:9" x14ac:dyDescent="0.3">
      <c r="A13" s="4">
        <v>76</v>
      </c>
      <c r="B13" s="4" t="s">
        <v>14</v>
      </c>
      <c r="C13" s="5">
        <v>1</v>
      </c>
      <c r="D13" s="5"/>
      <c r="E13" s="4" t="str">
        <f t="shared" si="0"/>
        <v>Completado</v>
      </c>
      <c r="F13" s="4" t="str">
        <f t="shared" si="0"/>
        <v>Pendiente</v>
      </c>
      <c r="G13" s="4">
        <f t="shared" si="1"/>
        <v>1</v>
      </c>
      <c r="H13" s="6">
        <f t="shared" si="2"/>
        <v>0.5</v>
      </c>
      <c r="I13" s="4" t="str">
        <f t="shared" si="3"/>
        <v>En proceso</v>
      </c>
    </row>
    <row r="14" spans="1:9" x14ac:dyDescent="0.3">
      <c r="A14" s="4">
        <v>107</v>
      </c>
      <c r="B14" s="4" t="s">
        <v>15</v>
      </c>
      <c r="C14" s="5">
        <v>1</v>
      </c>
      <c r="D14" s="5">
        <v>1</v>
      </c>
      <c r="E14" s="4" t="str">
        <f t="shared" si="0"/>
        <v>Completado</v>
      </c>
      <c r="F14" s="4" t="str">
        <f t="shared" si="0"/>
        <v>Completado</v>
      </c>
      <c r="G14" s="4">
        <f t="shared" si="1"/>
        <v>2</v>
      </c>
      <c r="H14" s="6">
        <f t="shared" si="2"/>
        <v>1</v>
      </c>
      <c r="I14" s="4" t="str">
        <f t="shared" si="3"/>
        <v>Terminado</v>
      </c>
    </row>
    <row r="15" spans="1:9" x14ac:dyDescent="0.3">
      <c r="A15" s="4">
        <v>129</v>
      </c>
      <c r="B15" s="4" t="s">
        <v>11</v>
      </c>
      <c r="C15" s="5">
        <v>1</v>
      </c>
      <c r="D15" s="5">
        <v>1</v>
      </c>
      <c r="E15" s="4" t="str">
        <f t="shared" si="0"/>
        <v>Completado</v>
      </c>
      <c r="F15" s="4" t="str">
        <f t="shared" si="0"/>
        <v>Completado</v>
      </c>
      <c r="G15" s="4">
        <f t="shared" si="1"/>
        <v>2</v>
      </c>
      <c r="H15" s="6">
        <f t="shared" si="2"/>
        <v>1</v>
      </c>
      <c r="I15" s="4" t="str">
        <f t="shared" si="3"/>
        <v>Terminado</v>
      </c>
    </row>
    <row r="16" spans="1:9" x14ac:dyDescent="0.3">
      <c r="A16" s="4">
        <v>142</v>
      </c>
      <c r="B16" s="4" t="s">
        <v>11</v>
      </c>
      <c r="C16" s="5">
        <v>1</v>
      </c>
      <c r="D16" s="5">
        <v>1</v>
      </c>
      <c r="E16" s="4" t="str">
        <f t="shared" si="0"/>
        <v>Completado</v>
      </c>
      <c r="F16" s="4" t="str">
        <f t="shared" si="0"/>
        <v>Completado</v>
      </c>
      <c r="G16" s="4">
        <f t="shared" si="1"/>
        <v>2</v>
      </c>
      <c r="H16" s="6">
        <f t="shared" si="2"/>
        <v>1</v>
      </c>
      <c r="I16" s="4" t="str">
        <f t="shared" si="3"/>
        <v>Terminado</v>
      </c>
    </row>
    <row r="17" spans="1:9" x14ac:dyDescent="0.3">
      <c r="A17" s="4">
        <v>147</v>
      </c>
      <c r="B17" s="4" t="s">
        <v>12</v>
      </c>
      <c r="C17" s="5">
        <v>1</v>
      </c>
      <c r="D17" s="5"/>
      <c r="E17" s="4" t="str">
        <f t="shared" si="0"/>
        <v>Completado</v>
      </c>
      <c r="F17" s="4" t="str">
        <f t="shared" si="0"/>
        <v>Pendiente</v>
      </c>
      <c r="G17" s="4">
        <f t="shared" si="1"/>
        <v>1</v>
      </c>
      <c r="H17" s="6">
        <f t="shared" si="2"/>
        <v>0.5</v>
      </c>
      <c r="I17" s="4" t="str">
        <f t="shared" si="3"/>
        <v>En proceso</v>
      </c>
    </row>
    <row r="18" spans="1:9" x14ac:dyDescent="0.3">
      <c r="A18" s="4">
        <v>83</v>
      </c>
      <c r="B18" s="4" t="s">
        <v>11</v>
      </c>
      <c r="C18" s="5">
        <v>1</v>
      </c>
      <c r="D18" s="5">
        <v>1</v>
      </c>
      <c r="E18" s="4" t="str">
        <f t="shared" si="0"/>
        <v>Completado</v>
      </c>
      <c r="F18" s="4" t="str">
        <f t="shared" si="0"/>
        <v>Completado</v>
      </c>
      <c r="G18" s="4">
        <f t="shared" si="1"/>
        <v>2</v>
      </c>
      <c r="H18" s="6">
        <f t="shared" si="2"/>
        <v>1</v>
      </c>
      <c r="I18" s="4" t="str">
        <f t="shared" si="3"/>
        <v>Terminado</v>
      </c>
    </row>
    <row r="19" spans="1:9" x14ac:dyDescent="0.3">
      <c r="A19" s="4">
        <v>160</v>
      </c>
      <c r="B19" s="4" t="s">
        <v>12</v>
      </c>
      <c r="C19" s="5">
        <v>1</v>
      </c>
      <c r="D19" s="5">
        <v>1</v>
      </c>
      <c r="E19" s="4" t="str">
        <f t="shared" si="0"/>
        <v>Completado</v>
      </c>
      <c r="F19" s="4" t="str">
        <f t="shared" si="0"/>
        <v>Completado</v>
      </c>
      <c r="G19" s="4">
        <f t="shared" si="1"/>
        <v>2</v>
      </c>
      <c r="H19" s="6">
        <f t="shared" si="2"/>
        <v>1</v>
      </c>
      <c r="I19" s="4" t="str">
        <f t="shared" si="3"/>
        <v>Terminado</v>
      </c>
    </row>
    <row r="20" spans="1:9" x14ac:dyDescent="0.3">
      <c r="A20" s="4">
        <v>197</v>
      </c>
      <c r="B20" s="4" t="s">
        <v>11</v>
      </c>
      <c r="C20" s="5">
        <v>1</v>
      </c>
      <c r="D20" s="5">
        <v>1</v>
      </c>
      <c r="E20" s="4" t="str">
        <f t="shared" si="0"/>
        <v>Completado</v>
      </c>
      <c r="F20" s="4" t="str">
        <f t="shared" si="0"/>
        <v>Completado</v>
      </c>
      <c r="G20" s="4">
        <f t="shared" si="1"/>
        <v>2</v>
      </c>
      <c r="H20" s="6">
        <f t="shared" si="2"/>
        <v>1</v>
      </c>
      <c r="I20" s="4" t="str">
        <f t="shared" si="3"/>
        <v>Terminado</v>
      </c>
    </row>
    <row r="21" spans="1:9" x14ac:dyDescent="0.3">
      <c r="A21" s="4">
        <v>203</v>
      </c>
      <c r="B21" s="4" t="s">
        <v>11</v>
      </c>
      <c r="C21" s="5">
        <v>1</v>
      </c>
      <c r="D21" s="5">
        <v>1</v>
      </c>
      <c r="E21" s="4" t="str">
        <f t="shared" si="0"/>
        <v>Completado</v>
      </c>
      <c r="F21" s="4" t="str">
        <f t="shared" si="0"/>
        <v>Completado</v>
      </c>
      <c r="G21" s="4">
        <f t="shared" si="1"/>
        <v>2</v>
      </c>
      <c r="H21" s="6">
        <f t="shared" si="2"/>
        <v>1</v>
      </c>
      <c r="I21" s="4" t="str">
        <f t="shared" si="3"/>
        <v>Terminado</v>
      </c>
    </row>
    <row r="22" spans="1:9" x14ac:dyDescent="0.3">
      <c r="A22" s="4">
        <v>208</v>
      </c>
      <c r="B22" s="4" t="s">
        <v>12</v>
      </c>
      <c r="C22" s="5">
        <v>1</v>
      </c>
      <c r="D22" s="5">
        <v>1</v>
      </c>
      <c r="E22" s="4" t="str">
        <f t="shared" si="0"/>
        <v>Completado</v>
      </c>
      <c r="F22" s="4" t="str">
        <f t="shared" si="0"/>
        <v>Completado</v>
      </c>
      <c r="G22" s="4">
        <f t="shared" si="1"/>
        <v>2</v>
      </c>
      <c r="H22" s="6">
        <f t="shared" si="2"/>
        <v>1</v>
      </c>
      <c r="I22" s="4" t="str">
        <f t="shared" si="3"/>
        <v>Terminado</v>
      </c>
    </row>
  </sheetData>
  <autoFilter ref="A2:I22" xr:uid="{00000000-0009-0000-0000-000003000000}"/>
  <conditionalFormatting sqref="E3:F22">
    <cfRule type="cellIs" dxfId="21" priority="1" operator="equal">
      <formula>"Completado"</formula>
    </cfRule>
    <cfRule type="cellIs" dxfId="20" priority="2" operator="equal">
      <formula>"Terminado"</formula>
    </cfRule>
    <cfRule type="cellIs" dxfId="19" priority="3" operator="equal">
      <formula>"Izado completo"</formula>
    </cfRule>
    <cfRule type="cellIs" dxfId="18" priority="4" operator="equal">
      <formula>"Resanado"</formula>
    </cfRule>
    <cfRule type="cellIs" dxfId="17" priority="5" operator="equal">
      <formula>"No necesita resane"</formula>
    </cfRule>
    <cfRule type="cellIs" dxfId="16" priority="6" operator="equal">
      <formula>"Reponer jardin"</formula>
    </cfRule>
    <cfRule type="cellIs" dxfId="15" priority="7" operator="equal">
      <formula>"Falta concreto"</formula>
    </cfRule>
    <cfRule type="cellIs" dxfId="14" priority="8" operator="equal">
      <formula>"En proceso"</formula>
    </cfRule>
    <cfRule type="cellIs" dxfId="13" priority="9" operator="equal">
      <formula>"Pendiente"</formula>
    </cfRule>
    <cfRule type="cellIs" dxfId="12" priority="10" operator="equal">
      <formula>"Falta resanar"</formula>
    </cfRule>
    <cfRule type="cellIs" dxfId="11" priority="11" operator="equal">
      <formula>"Sin iniciar"</formula>
    </cfRule>
  </conditionalFormatting>
  <conditionalFormatting sqref="H3:H22">
    <cfRule type="dataBar" priority="23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{EE530756-EB3C-4C6E-B5A6-F7D6E5F68A2A}</x14:id>
        </ext>
      </extLst>
    </cfRule>
  </conditionalFormatting>
  <conditionalFormatting sqref="I3:I22">
    <cfRule type="cellIs" dxfId="10" priority="12" operator="equal">
      <formula>"Completado"</formula>
    </cfRule>
    <cfRule type="cellIs" dxfId="9" priority="13" operator="equal">
      <formula>"Terminado"</formula>
    </cfRule>
    <cfRule type="cellIs" dxfId="8" priority="14" operator="equal">
      <formula>"Izado completo"</formula>
    </cfRule>
    <cfRule type="cellIs" dxfId="7" priority="15" operator="equal">
      <formula>"Resanado"</formula>
    </cfRule>
    <cfRule type="cellIs" dxfId="6" priority="16" operator="equal">
      <formula>"No necesita resane"</formula>
    </cfRule>
    <cfRule type="cellIs" dxfId="5" priority="17" operator="equal">
      <formula>"Reponer jardin"</formula>
    </cfRule>
    <cfRule type="cellIs" dxfId="4" priority="18" operator="equal">
      <formula>"Falta concreto"</formula>
    </cfRule>
    <cfRule type="cellIs" dxfId="3" priority="19" operator="equal">
      <formula>"En proceso"</formula>
    </cfRule>
    <cfRule type="cellIs" dxfId="2" priority="20" operator="equal">
      <formula>"Pendiente"</formula>
    </cfRule>
    <cfRule type="cellIs" dxfId="1" priority="21" operator="equal">
      <formula>"Falta resanar"</formula>
    </cfRule>
    <cfRule type="cellIs" dxfId="0" priority="22" operator="equal">
      <formula>"Sin iniciar"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530756-EB3C-4C6E-B5A6-F7D6E5F68A2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H3:H22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BOTONES</vt:lpstr>
      <vt:lpstr>'DATOS BOTONES'!Títulos_a_imprimir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Cespedes</dc:creator>
  <cp:lastModifiedBy>Claudio Cespedes</cp:lastModifiedBy>
  <dcterms:created xsi:type="dcterms:W3CDTF">2026-08-05T17:31:01Z</dcterms:created>
  <dcterms:modified xsi:type="dcterms:W3CDTF">2026-08-05T17:31:29Z</dcterms:modified>
</cp:coreProperties>
</file>